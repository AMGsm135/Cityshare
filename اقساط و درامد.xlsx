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omeni\Desktop\"/>
    </mc:Choice>
  </mc:AlternateContent>
  <xr:revisionPtr revIDLastSave="0" documentId="13_ncr:1_{C86802C4-E905-44BC-A620-57584BE4EED4}" xr6:coauthVersionLast="47" xr6:coauthVersionMax="47" xr10:uidLastSave="{00000000-0000-0000-0000-000000000000}"/>
  <bookViews>
    <workbookView xWindow="3150" yWindow="615" windowWidth="22890" windowHeight="13320" xr2:uid="{C71903A1-E4A3-4382-83AA-42283EADCBED}"/>
  </bookViews>
  <sheets>
    <sheet name="Loan" sheetId="1" r:id="rId1"/>
    <sheet name="Installments" sheetId="2" r:id="rId2"/>
    <sheet name="Income" sheetId="3" r:id="rId3"/>
    <sheet name="Repor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2" l="1"/>
  <c r="V58" i="2"/>
  <c r="U58" i="2"/>
  <c r="T58" i="2"/>
  <c r="V57" i="2"/>
  <c r="U57" i="2"/>
  <c r="T57" i="2"/>
  <c r="V56" i="2"/>
  <c r="U56" i="2"/>
  <c r="T56" i="2"/>
  <c r="V55" i="2"/>
  <c r="U55" i="2"/>
  <c r="T55" i="2"/>
  <c r="V54" i="2"/>
  <c r="U54" i="2"/>
  <c r="T54" i="2"/>
  <c r="V53" i="2"/>
  <c r="U53" i="2"/>
  <c r="T53" i="2"/>
  <c r="V52" i="2"/>
  <c r="U52" i="2"/>
  <c r="T52" i="2"/>
  <c r="V51" i="2"/>
  <c r="U51" i="2"/>
  <c r="T51" i="2"/>
  <c r="V50" i="2"/>
  <c r="U50" i="2"/>
  <c r="T50" i="2"/>
  <c r="V49" i="2"/>
  <c r="U49" i="2"/>
  <c r="T49" i="2"/>
  <c r="V48" i="2"/>
  <c r="U48" i="2"/>
  <c r="T48" i="2"/>
  <c r="V47" i="2"/>
  <c r="U47" i="2"/>
  <c r="T47" i="2"/>
  <c r="V43" i="2"/>
  <c r="U43" i="2"/>
  <c r="T43" i="2"/>
  <c r="V42" i="2"/>
  <c r="U42" i="2"/>
  <c r="T42" i="2"/>
  <c r="V41" i="2"/>
  <c r="U41" i="2"/>
  <c r="T41" i="2"/>
  <c r="V40" i="2"/>
  <c r="U40" i="2"/>
  <c r="T40" i="2"/>
  <c r="V39" i="2"/>
  <c r="U39" i="2"/>
  <c r="T39" i="2"/>
  <c r="V38" i="2"/>
  <c r="U38" i="2"/>
  <c r="T38" i="2"/>
  <c r="V37" i="2"/>
  <c r="U37" i="2"/>
  <c r="T37" i="2"/>
  <c r="V36" i="2"/>
  <c r="U36" i="2"/>
  <c r="T36" i="2"/>
  <c r="V35" i="2"/>
  <c r="U35" i="2"/>
  <c r="T35" i="2"/>
  <c r="V34" i="2"/>
  <c r="U34" i="2"/>
  <c r="T34" i="2"/>
  <c r="V33" i="2"/>
  <c r="U33" i="2"/>
  <c r="T33" i="2"/>
  <c r="V32" i="2"/>
  <c r="U32" i="2"/>
  <c r="T32" i="2"/>
  <c r="P3" i="4"/>
  <c r="P4" i="4"/>
  <c r="P5" i="4"/>
  <c r="P6" i="4"/>
  <c r="P7" i="4"/>
  <c r="P8" i="4"/>
  <c r="P9" i="4"/>
  <c r="P10" i="4"/>
  <c r="P11" i="4"/>
  <c r="P12" i="4"/>
  <c r="P13" i="4"/>
  <c r="P2" i="4"/>
  <c r="O3" i="4"/>
  <c r="O4" i="4"/>
  <c r="O5" i="4"/>
  <c r="O6" i="4"/>
  <c r="O2" i="4"/>
  <c r="M2" i="4"/>
  <c r="V18" i="2"/>
  <c r="V19" i="2"/>
  <c r="V20" i="2"/>
  <c r="V21" i="2"/>
  <c r="V22" i="2"/>
  <c r="V23" i="2"/>
  <c r="V24" i="2"/>
  <c r="V25" i="2"/>
  <c r="V26" i="2"/>
  <c r="V27" i="2"/>
  <c r="V28" i="2"/>
  <c r="V17" i="2"/>
  <c r="M3" i="4"/>
  <c r="M4" i="4"/>
  <c r="M5" i="4"/>
  <c r="M6" i="4"/>
  <c r="M7" i="4"/>
  <c r="M8" i="4"/>
  <c r="M9" i="4"/>
  <c r="M10" i="4"/>
  <c r="M11" i="4"/>
  <c r="M12" i="4"/>
  <c r="M13" i="4"/>
  <c r="T18" i="2"/>
  <c r="T19" i="2"/>
  <c r="T20" i="2"/>
  <c r="T21" i="2"/>
  <c r="T22" i="2"/>
  <c r="T23" i="2"/>
  <c r="T24" i="2"/>
  <c r="T25" i="2"/>
  <c r="T26" i="2"/>
  <c r="T27" i="2"/>
  <c r="T28" i="2"/>
  <c r="T17" i="2"/>
  <c r="U18" i="2"/>
  <c r="U19" i="2"/>
  <c r="U20" i="2"/>
  <c r="U21" i="2"/>
  <c r="U22" i="2"/>
  <c r="U23" i="2"/>
  <c r="U24" i="2"/>
  <c r="U25" i="2"/>
  <c r="U26" i="2"/>
  <c r="U27" i="2"/>
  <c r="U28" i="2"/>
  <c r="U17" i="2"/>
  <c r="U8" i="2"/>
  <c r="O8" i="4" s="1"/>
  <c r="U9" i="2"/>
  <c r="O9" i="4" s="1"/>
  <c r="U10" i="2"/>
  <c r="O10" i="4" s="1"/>
  <c r="U11" i="2"/>
  <c r="O11" i="4" s="1"/>
  <c r="U12" i="2"/>
  <c r="O12" i="4" s="1"/>
  <c r="U13" i="2"/>
  <c r="O13" i="4" s="1"/>
  <c r="U7" i="2"/>
  <c r="O7" i="4" s="1"/>
  <c r="T8" i="2"/>
  <c r="T9" i="2"/>
  <c r="T10" i="2"/>
  <c r="T11" i="2"/>
  <c r="T12" i="2"/>
  <c r="T13" i="2"/>
  <c r="T2" i="2"/>
  <c r="V13" i="2"/>
  <c r="V12" i="2"/>
  <c r="V11" i="2"/>
  <c r="V10" i="2"/>
  <c r="V9" i="2"/>
  <c r="V8" i="2"/>
  <c r="V7" i="2"/>
  <c r="V6" i="2"/>
  <c r="V5" i="2"/>
  <c r="V4" i="2"/>
  <c r="V3" i="2"/>
  <c r="U6" i="2"/>
  <c r="U5" i="2"/>
  <c r="U4" i="2"/>
  <c r="U3" i="2"/>
  <c r="V2" i="2"/>
  <c r="U2" i="2"/>
  <c r="T6" i="2"/>
  <c r="T5" i="2"/>
  <c r="T4" i="2"/>
  <c r="T3" i="2"/>
  <c r="N6" i="4"/>
  <c r="L13" i="4"/>
  <c r="L12" i="4"/>
  <c r="L11" i="4"/>
  <c r="L10" i="4"/>
  <c r="L9" i="4"/>
  <c r="L8" i="4"/>
  <c r="L7" i="4"/>
  <c r="L6" i="4"/>
  <c r="L5" i="4"/>
  <c r="N5" i="4" s="1"/>
  <c r="L4" i="4"/>
  <c r="L3" i="4"/>
  <c r="N3" i="4" s="1"/>
  <c r="L2" i="4"/>
  <c r="N9" i="4" l="1"/>
  <c r="N8" i="4"/>
  <c r="N2" i="4"/>
  <c r="N4" i="4"/>
  <c r="N10" i="4"/>
  <c r="N7" i="4"/>
  <c r="N11" i="4"/>
  <c r="N12" i="4"/>
  <c r="N13" i="4"/>
</calcChain>
</file>

<file path=xl/sharedStrings.xml><?xml version="1.0" encoding="utf-8"?>
<sst xmlns="http://schemas.openxmlformats.org/spreadsheetml/2006/main" count="210" uniqueCount="74">
  <si>
    <t>عنوان</t>
  </si>
  <si>
    <t>مبلغ قسط</t>
  </si>
  <si>
    <t>تعداد اقساط</t>
  </si>
  <si>
    <t>تاریخ شروع</t>
  </si>
  <si>
    <t>ملت</t>
  </si>
  <si>
    <t>1402-06-22</t>
  </si>
  <si>
    <t>فرودین</t>
  </si>
  <si>
    <t>اردیبهشت</t>
  </si>
  <si>
    <t>خرداد</t>
  </si>
  <si>
    <t>تیر</t>
  </si>
  <si>
    <t>مرداد</t>
  </si>
  <si>
    <t>شهریور</t>
  </si>
  <si>
    <t xml:space="preserve">مهر </t>
  </si>
  <si>
    <t>آبان</t>
  </si>
  <si>
    <t>آذر</t>
  </si>
  <si>
    <t xml:space="preserve">دی </t>
  </si>
  <si>
    <t>بهمن</t>
  </si>
  <si>
    <t>اسفند</t>
  </si>
  <si>
    <t>مهر ایران</t>
  </si>
  <si>
    <t>1402-06-30</t>
  </si>
  <si>
    <t>ملی</t>
  </si>
  <si>
    <t>رسالت</t>
  </si>
  <si>
    <t>1403-06-17</t>
  </si>
  <si>
    <t>1403-05-06</t>
  </si>
  <si>
    <t>1402-11-08</t>
  </si>
  <si>
    <t>آینده</t>
  </si>
  <si>
    <t>1401-07-09</t>
  </si>
  <si>
    <t>علیرضا</t>
  </si>
  <si>
    <t>ریحانه</t>
  </si>
  <si>
    <t>سرمایه گزاری ثابت</t>
  </si>
  <si>
    <t>مکین</t>
  </si>
  <si>
    <t>صندوق ها</t>
  </si>
  <si>
    <t>تاریخ پایان</t>
  </si>
  <si>
    <t>اجاره</t>
  </si>
  <si>
    <t>بیمه ها</t>
  </si>
  <si>
    <t>1403-10-27</t>
  </si>
  <si>
    <t>1404-12-27</t>
  </si>
  <si>
    <t>1404-11-09</t>
  </si>
  <si>
    <t>1404-05-08</t>
  </si>
  <si>
    <t>1405-01-06</t>
  </si>
  <si>
    <t>1404-04-17</t>
  </si>
  <si>
    <t>1405-06-30</t>
  </si>
  <si>
    <t>1404-06-30</t>
  </si>
  <si>
    <t>1412-06-22</t>
  </si>
  <si>
    <t>دایی</t>
  </si>
  <si>
    <t>بابا</t>
  </si>
  <si>
    <t>اسنپ و تپسی</t>
  </si>
  <si>
    <t>قسط ریحانه</t>
  </si>
  <si>
    <t>اجاره پارکینگ</t>
  </si>
  <si>
    <t>مجموع</t>
  </si>
  <si>
    <t>مجموع درآمد</t>
  </si>
  <si>
    <t>مجموع هزینه</t>
  </si>
  <si>
    <t xml:space="preserve"> مابه تفاوت</t>
  </si>
  <si>
    <t>شهر</t>
  </si>
  <si>
    <t>وضعیت</t>
  </si>
  <si>
    <t>تمام شده</t>
  </si>
  <si>
    <t>در جریان</t>
  </si>
  <si>
    <t>بیمه ماشین</t>
  </si>
  <si>
    <t>ما به تفاوت علیرضا</t>
  </si>
  <si>
    <t>مابه تفاوت ریحانه</t>
  </si>
  <si>
    <t>رسالت ماشین</t>
  </si>
  <si>
    <t>1404-07-30</t>
  </si>
  <si>
    <t>1406-07-30</t>
  </si>
  <si>
    <t>1404-03-22</t>
  </si>
  <si>
    <t>1405-01-22</t>
  </si>
  <si>
    <t>1405-04-10</t>
  </si>
  <si>
    <t>1404-07-11</t>
  </si>
  <si>
    <t>1409-07-11</t>
  </si>
  <si>
    <t>1404-06-15</t>
  </si>
  <si>
    <t>1405-06-15</t>
  </si>
  <si>
    <t>روز قسط در ماه</t>
  </si>
  <si>
    <t>صندق ماشین ظرف شویی</t>
  </si>
  <si>
    <t>1404-06-01</t>
  </si>
  <si>
    <t>1404-04-01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</si>
</sst>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B Nazanin"/>
      <charset val="178"/>
    </font>
    <font>
      <sz val="14"/>
      <color rgb="FF00000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1" applyNumberFormat="0" applyAlignment="0" applyProtection="0"/>
  </cellStyleXfs>
  <cellXfs count="12">
    <xf numFmtId="0" fontId="0" fillId="0" borderId="0" xfId="0"/>
    <xf numFmtId="164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readingOrder="1"/>
    </xf>
    <xf numFmtId="0" fontId="5" fillId="3" borderId="1" xfId="3" applyAlignment="1">
      <alignment horizontal="center" vertical="center"/>
    </xf>
    <xf numFmtId="164" fontId="5" fillId="3" borderId="1" xfId="3" applyNumberFormat="1" applyAlignment="1">
      <alignment horizontal="center" vertical="center"/>
    </xf>
    <xf numFmtId="164" fontId="5" fillId="3" borderId="1" xfId="3" applyNumberFormat="1" applyAlignment="1">
      <alignment horizontal="center" vertical="center" readingOrder="1"/>
    </xf>
    <xf numFmtId="0" fontId="4" fillId="2" borderId="0" xfId="2" applyAlignment="1">
      <alignment horizontal="center" vertical="center"/>
    </xf>
    <xf numFmtId="164" fontId="4" fillId="2" borderId="0" xfId="2" applyNumberFormat="1" applyAlignment="1">
      <alignment horizontal="center" vertical="center"/>
    </xf>
    <xf numFmtId="164" fontId="4" fillId="2" borderId="0" xfId="2" applyNumberFormat="1" applyAlignment="1">
      <alignment horizontal="center" vertical="center" readingOrder="1"/>
    </xf>
  </cellXfs>
  <cellStyles count="4">
    <cellStyle name="Check Cell" xfId="3" builtinId="23"/>
    <cellStyle name="Comma" xfId="1" builtinId="3"/>
    <cellStyle name="Good" xfId="2" builtinId="26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2A391-8EB6-47E4-B7E4-F12744424BB3}" name="Table1" displayName="Table1" ref="A1:G18" totalsRowShown="0" headerRowDxfId="8" dataDxfId="7">
  <autoFilter ref="A1:G18" xr:uid="{CA32A391-8EB6-47E4-B7E4-F12744424BB3}">
    <filterColumn colId="6">
      <filters>
        <filter val="در جریان"/>
      </filters>
    </filterColumn>
  </autoFilter>
  <sortState xmlns:xlrd2="http://schemas.microsoft.com/office/spreadsheetml/2017/richdata2" ref="A2:G15">
    <sortCondition ref="F1:F15"/>
  </sortState>
  <tableColumns count="7">
    <tableColumn id="1" xr3:uid="{7ED38AF8-B257-4373-B569-E9427FEBA46C}" name="عنوان" dataDxfId="6"/>
    <tableColumn id="2" xr3:uid="{AF29C2BB-50BC-4C18-8DF9-0559C8B27BFA}" name="مبلغ قسط" dataDxfId="5" dataCellStyle="Comma"/>
    <tableColumn id="3" xr3:uid="{D863296C-FA84-4311-91CF-3020804D3778}" name="تعداد اقساط" dataDxfId="4"/>
    <tableColumn id="4" xr3:uid="{5EE28F6E-DA28-4660-A79C-2B0A5B5E69D7}" name="تاریخ شروع" dataDxfId="3"/>
    <tableColumn id="5" xr3:uid="{D7584D1C-42FE-4890-BDD4-288AF0578825}" name="تاریخ پایان" dataDxfId="2"/>
    <tableColumn id="7" xr3:uid="{F8F03BA3-26B6-4B27-911F-BF731F83F21F}" name="روز قسط در ماه" dataDxfId="0"/>
    <tableColumn id="6" xr3:uid="{1BAEAD54-769C-40B2-8C4B-623FCBF95F0B}" name="وضعیت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4E17-3921-4529-8AD1-FBA3AC4C0DE1}">
  <dimension ref="A1:G18"/>
  <sheetViews>
    <sheetView rightToLeft="1" tabSelected="1" zoomScale="175" zoomScaleNormal="175" workbookViewId="0">
      <selection activeCell="E7" sqref="E7"/>
    </sheetView>
  </sheetViews>
  <sheetFormatPr defaultRowHeight="18" x14ac:dyDescent="0.25"/>
  <cols>
    <col min="1" max="1" width="18.42578125" style="2" bestFit="1" customWidth="1"/>
    <col min="2" max="2" width="12.7109375" style="1" bestFit="1" customWidth="1"/>
    <col min="3" max="3" width="10.7109375" style="2" customWidth="1"/>
    <col min="4" max="5" width="10.7109375" style="2" bestFit="1" customWidth="1"/>
    <col min="6" max="6" width="17.5703125" style="2" bestFit="1" customWidth="1"/>
    <col min="7" max="16384" width="9.140625" style="2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70</v>
      </c>
      <c r="G1" s="2" t="s">
        <v>54</v>
      </c>
    </row>
    <row r="2" spans="1:7" x14ac:dyDescent="0.25">
      <c r="A2" s="2" t="s">
        <v>18</v>
      </c>
      <c r="B2" s="1">
        <v>8860000</v>
      </c>
      <c r="C2" s="2">
        <v>24</v>
      </c>
      <c r="D2" s="2" t="s">
        <v>61</v>
      </c>
      <c r="E2" s="2" t="s">
        <v>62</v>
      </c>
      <c r="F2" s="2">
        <v>1</v>
      </c>
      <c r="G2" s="2" t="s">
        <v>56</v>
      </c>
    </row>
    <row r="3" spans="1:7" hidden="1" x14ac:dyDescent="0.25">
      <c r="A3" s="2" t="s">
        <v>18</v>
      </c>
      <c r="B3" s="1">
        <v>13640000</v>
      </c>
      <c r="C3" s="2">
        <v>24</v>
      </c>
      <c r="D3" s="2" t="s">
        <v>19</v>
      </c>
      <c r="E3" s="2" t="s">
        <v>42</v>
      </c>
      <c r="F3" s="2">
        <v>1</v>
      </c>
      <c r="G3" s="2" t="s">
        <v>55</v>
      </c>
    </row>
    <row r="4" spans="1:7" x14ac:dyDescent="0.25">
      <c r="A4" s="2" t="s">
        <v>20</v>
      </c>
      <c r="B4" s="1">
        <v>27000000</v>
      </c>
      <c r="C4" s="2">
        <v>36</v>
      </c>
      <c r="D4" s="2" t="s">
        <v>19</v>
      </c>
      <c r="E4" s="2" t="s">
        <v>41</v>
      </c>
      <c r="F4" s="2">
        <v>1</v>
      </c>
      <c r="G4" s="2" t="s">
        <v>56</v>
      </c>
    </row>
    <row r="5" spans="1:7" x14ac:dyDescent="0.25">
      <c r="A5" s="2" t="s">
        <v>33</v>
      </c>
      <c r="B5" s="1">
        <v>30000000</v>
      </c>
      <c r="C5" s="2">
        <v>12</v>
      </c>
      <c r="D5" s="2" t="s">
        <v>42</v>
      </c>
      <c r="E5" s="2" t="s">
        <v>41</v>
      </c>
      <c r="F5" s="2">
        <v>1</v>
      </c>
      <c r="G5" s="2" t="s">
        <v>56</v>
      </c>
    </row>
    <row r="6" spans="1:7" x14ac:dyDescent="0.25">
      <c r="A6" s="2" t="s">
        <v>4</v>
      </c>
      <c r="B6" s="1">
        <v>16363000</v>
      </c>
      <c r="C6" s="2">
        <v>120</v>
      </c>
      <c r="D6" s="2" t="s">
        <v>5</v>
      </c>
      <c r="E6" s="2" t="s">
        <v>43</v>
      </c>
      <c r="F6" s="2">
        <v>1</v>
      </c>
      <c r="G6" s="2" t="s">
        <v>56</v>
      </c>
    </row>
    <row r="7" spans="1:7" x14ac:dyDescent="0.25">
      <c r="A7" s="2" t="s">
        <v>21</v>
      </c>
      <c r="B7" s="1">
        <v>40000000</v>
      </c>
      <c r="C7" s="2">
        <v>20</v>
      </c>
      <c r="D7" s="2" t="s">
        <v>23</v>
      </c>
      <c r="E7" s="2" t="s">
        <v>39</v>
      </c>
      <c r="F7" s="2">
        <v>6</v>
      </c>
      <c r="G7" s="2" t="s">
        <v>56</v>
      </c>
    </row>
    <row r="8" spans="1:7" hidden="1" x14ac:dyDescent="0.25">
      <c r="A8" s="2" t="s">
        <v>21</v>
      </c>
      <c r="B8" s="1">
        <v>30000000</v>
      </c>
      <c r="C8" s="2">
        <v>18</v>
      </c>
      <c r="D8" s="2" t="s">
        <v>24</v>
      </c>
      <c r="E8" s="2" t="s">
        <v>38</v>
      </c>
      <c r="F8" s="2">
        <v>8</v>
      </c>
      <c r="G8" s="2" t="s">
        <v>55</v>
      </c>
    </row>
    <row r="9" spans="1:7" x14ac:dyDescent="0.25">
      <c r="A9" s="2" t="s">
        <v>25</v>
      </c>
      <c r="B9" s="1">
        <v>32000000</v>
      </c>
      <c r="C9" s="2">
        <v>40</v>
      </c>
      <c r="D9" s="2" t="s">
        <v>26</v>
      </c>
      <c r="E9" s="2" t="s">
        <v>37</v>
      </c>
      <c r="F9" s="2">
        <v>9</v>
      </c>
      <c r="G9" s="2" t="s">
        <v>56</v>
      </c>
    </row>
    <row r="10" spans="1:7" x14ac:dyDescent="0.25">
      <c r="A10" s="2" t="s">
        <v>21</v>
      </c>
      <c r="B10" s="1">
        <v>60000000</v>
      </c>
      <c r="E10" s="2" t="s">
        <v>65</v>
      </c>
      <c r="F10" s="2">
        <v>10</v>
      </c>
      <c r="G10" s="2" t="s">
        <v>56</v>
      </c>
    </row>
    <row r="11" spans="1:7" x14ac:dyDescent="0.25">
      <c r="A11" s="2" t="s">
        <v>53</v>
      </c>
      <c r="B11" s="1">
        <v>50000000</v>
      </c>
      <c r="C11" s="2">
        <v>60</v>
      </c>
      <c r="D11" s="2" t="s">
        <v>66</v>
      </c>
      <c r="E11" s="2" t="s">
        <v>67</v>
      </c>
      <c r="F11" s="2">
        <v>11</v>
      </c>
      <c r="G11" s="2" t="s">
        <v>56</v>
      </c>
    </row>
    <row r="12" spans="1:7" x14ac:dyDescent="0.25">
      <c r="A12" s="2" t="s">
        <v>33</v>
      </c>
      <c r="B12" s="1">
        <v>7500000</v>
      </c>
      <c r="C12" s="2">
        <v>12</v>
      </c>
      <c r="D12" s="2" t="s">
        <v>68</v>
      </c>
      <c r="E12" s="2" t="s">
        <v>69</v>
      </c>
      <c r="F12" s="2">
        <v>15</v>
      </c>
      <c r="G12" s="2" t="s">
        <v>56</v>
      </c>
    </row>
    <row r="13" spans="1:7" hidden="1" x14ac:dyDescent="0.25">
      <c r="A13" s="2" t="s">
        <v>21</v>
      </c>
      <c r="B13" s="1">
        <v>4500000</v>
      </c>
      <c r="C13" s="2">
        <v>10</v>
      </c>
      <c r="D13" s="2" t="s">
        <v>22</v>
      </c>
      <c r="E13" s="2" t="s">
        <v>40</v>
      </c>
      <c r="F13" s="2">
        <v>17</v>
      </c>
      <c r="G13" s="2" t="s">
        <v>55</v>
      </c>
    </row>
    <row r="14" spans="1:7" x14ac:dyDescent="0.25">
      <c r="A14" s="2" t="s">
        <v>21</v>
      </c>
      <c r="B14" s="1">
        <v>22000000</v>
      </c>
      <c r="C14" s="2">
        <v>10</v>
      </c>
      <c r="D14" s="2" t="s">
        <v>63</v>
      </c>
      <c r="E14" s="2" t="s">
        <v>64</v>
      </c>
      <c r="F14" s="2">
        <v>22</v>
      </c>
      <c r="G14" s="2" t="s">
        <v>56</v>
      </c>
    </row>
    <row r="15" spans="1:7" x14ac:dyDescent="0.25">
      <c r="A15" s="2" t="s">
        <v>21</v>
      </c>
      <c r="B15" s="1">
        <v>70000000</v>
      </c>
      <c r="C15" s="2">
        <v>15</v>
      </c>
      <c r="D15" s="2" t="s">
        <v>35</v>
      </c>
      <c r="E15" s="2" t="s">
        <v>36</v>
      </c>
      <c r="F15" s="2">
        <v>27</v>
      </c>
      <c r="G15" s="2" t="s">
        <v>56</v>
      </c>
    </row>
    <row r="16" spans="1:7" x14ac:dyDescent="0.25">
      <c r="A16" s="2" t="s">
        <v>44</v>
      </c>
      <c r="B16" s="1">
        <v>60000000</v>
      </c>
      <c r="F16" s="2">
        <v>15</v>
      </c>
      <c r="G16" s="2" t="s">
        <v>56</v>
      </c>
    </row>
    <row r="17" spans="1:7" x14ac:dyDescent="0.25">
      <c r="A17" s="2" t="s">
        <v>45</v>
      </c>
      <c r="B17" s="1">
        <v>60000000</v>
      </c>
      <c r="F17" s="2">
        <v>15</v>
      </c>
      <c r="G17" s="2" t="s">
        <v>56</v>
      </c>
    </row>
    <row r="18" spans="1:7" x14ac:dyDescent="0.25">
      <c r="A18" s="2" t="s">
        <v>71</v>
      </c>
      <c r="B18" s="1">
        <v>40000000</v>
      </c>
      <c r="C18" s="2">
        <v>10</v>
      </c>
      <c r="D18" s="2" t="s">
        <v>72</v>
      </c>
      <c r="E18" s="2" t="s">
        <v>73</v>
      </c>
      <c r="F18" s="2">
        <v>1</v>
      </c>
      <c r="G18" s="2" t="s">
        <v>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48BE-4962-47FB-92CC-4E61D42A20EE}">
  <dimension ref="A1:V58"/>
  <sheetViews>
    <sheetView rightToLeft="1" zoomScale="85" zoomScaleNormal="85" workbookViewId="0">
      <pane xSplit="1" topLeftCell="G1" activePane="topRight" state="frozen"/>
      <selection pane="topRight" activeCell="V8" sqref="V8"/>
    </sheetView>
  </sheetViews>
  <sheetFormatPr defaultRowHeight="22.5" x14ac:dyDescent="0.25"/>
  <cols>
    <col min="1" max="1" width="9.42578125" style="3" bestFit="1" customWidth="1"/>
    <col min="2" max="2" width="14" style="4" bestFit="1" customWidth="1"/>
    <col min="3" max="3" width="14.140625" style="4" bestFit="1" customWidth="1"/>
    <col min="4" max="4" width="14.28515625" style="4" bestFit="1" customWidth="1"/>
    <col min="5" max="5" width="12.85546875" style="4" bestFit="1" customWidth="1"/>
    <col min="6" max="6" width="14.28515625" style="3" bestFit="1" customWidth="1"/>
    <col min="7" max="7" width="14.28515625" style="4" bestFit="1" customWidth="1"/>
    <col min="8" max="8" width="14.28515625" style="3" bestFit="1" customWidth="1"/>
    <col min="9" max="10" width="14.28515625" style="4" bestFit="1" customWidth="1"/>
    <col min="11" max="12" width="14.140625" style="4" bestFit="1" customWidth="1"/>
    <col min="13" max="13" width="13.7109375" style="4" bestFit="1" customWidth="1"/>
    <col min="14" max="15" width="14.28515625" style="3" bestFit="1" customWidth="1"/>
    <col min="16" max="16" width="12.85546875" style="4" bestFit="1" customWidth="1"/>
    <col min="17" max="17" width="14.28515625" style="4" bestFit="1" customWidth="1"/>
    <col min="18" max="18" width="12.85546875" style="3" bestFit="1" customWidth="1"/>
    <col min="19" max="19" width="12.85546875" style="3" customWidth="1"/>
    <col min="20" max="22" width="15.5703125" style="3" bestFit="1" customWidth="1"/>
    <col min="23" max="16384" width="9.140625" style="3"/>
  </cols>
  <sheetData>
    <row r="1" spans="1:22" ht="23.25" thickBot="1" x14ac:dyDescent="0.3">
      <c r="A1" s="3">
        <v>1404</v>
      </c>
      <c r="B1" s="4" t="s">
        <v>4</v>
      </c>
      <c r="C1" s="4" t="s">
        <v>18</v>
      </c>
      <c r="D1" s="4" t="s">
        <v>20</v>
      </c>
      <c r="E1" s="4" t="s">
        <v>21</v>
      </c>
      <c r="F1" s="3" t="s">
        <v>21</v>
      </c>
      <c r="G1" s="4" t="s">
        <v>21</v>
      </c>
      <c r="H1" s="3" t="s">
        <v>25</v>
      </c>
      <c r="I1" s="4" t="s">
        <v>31</v>
      </c>
      <c r="J1" s="4" t="s">
        <v>45</v>
      </c>
      <c r="K1" s="4" t="s">
        <v>44</v>
      </c>
      <c r="L1" s="4" t="s">
        <v>33</v>
      </c>
      <c r="M1" s="4" t="s">
        <v>57</v>
      </c>
      <c r="N1" s="3" t="s">
        <v>46</v>
      </c>
      <c r="O1" s="3" t="s">
        <v>47</v>
      </c>
      <c r="P1" s="4" t="s">
        <v>48</v>
      </c>
      <c r="Q1" s="4" t="s">
        <v>60</v>
      </c>
      <c r="R1" s="3" t="s">
        <v>53</v>
      </c>
      <c r="T1" s="3" t="s">
        <v>49</v>
      </c>
      <c r="U1" s="3" t="s">
        <v>27</v>
      </c>
      <c r="V1" s="3" t="s">
        <v>28</v>
      </c>
    </row>
    <row r="2" spans="1:22" ht="24" thickTop="1" thickBot="1" x14ac:dyDescent="0.3">
      <c r="A2" s="6" t="s">
        <v>6</v>
      </c>
      <c r="B2" s="7">
        <v>16363000</v>
      </c>
      <c r="C2" s="7">
        <v>13640000</v>
      </c>
      <c r="D2" s="7">
        <v>27000000</v>
      </c>
      <c r="E2" s="7">
        <v>4500000</v>
      </c>
      <c r="F2" s="7">
        <v>40000000</v>
      </c>
      <c r="G2" s="7">
        <v>30000000</v>
      </c>
      <c r="H2" s="7">
        <v>32000000</v>
      </c>
      <c r="I2" s="7">
        <v>65000000</v>
      </c>
      <c r="J2" s="7">
        <v>50000000</v>
      </c>
      <c r="K2" s="7">
        <v>60000000</v>
      </c>
      <c r="L2" s="7">
        <v>60000000</v>
      </c>
      <c r="M2" s="7">
        <v>6500000</v>
      </c>
      <c r="N2" s="7">
        <v>20000000</v>
      </c>
      <c r="O2" s="7">
        <v>20000000</v>
      </c>
      <c r="P2" s="7">
        <v>7500000</v>
      </c>
      <c r="Q2" s="7">
        <v>70000000</v>
      </c>
      <c r="R2" s="8"/>
      <c r="S2" s="8"/>
      <c r="T2" s="7">
        <f>SUM(B2:Q2)</f>
        <v>522503000</v>
      </c>
      <c r="U2" s="7">
        <f>SUM(Q2,P2,M2,L2,K2,J2,H2,G2,F2,E2,D2,C2,B2)</f>
        <v>417503000</v>
      </c>
      <c r="V2" s="7">
        <f t="shared" ref="V2:V13" si="0">SUM(O2,N2,I2)</f>
        <v>105000000</v>
      </c>
    </row>
    <row r="3" spans="1:22" ht="24" thickTop="1" thickBot="1" x14ac:dyDescent="0.3">
      <c r="A3" s="6" t="s">
        <v>7</v>
      </c>
      <c r="B3" s="7">
        <v>16363000</v>
      </c>
      <c r="C3" s="7">
        <v>13640000</v>
      </c>
      <c r="D3" s="7">
        <v>27000000</v>
      </c>
      <c r="E3" s="7">
        <v>4500000</v>
      </c>
      <c r="F3" s="7">
        <v>40000000</v>
      </c>
      <c r="G3" s="7">
        <v>30000000</v>
      </c>
      <c r="H3" s="7">
        <v>32000000</v>
      </c>
      <c r="I3" s="7">
        <v>65000000</v>
      </c>
      <c r="J3" s="7">
        <v>50000000</v>
      </c>
      <c r="K3" s="7">
        <v>60000000</v>
      </c>
      <c r="L3" s="7">
        <v>60000000</v>
      </c>
      <c r="M3" s="7">
        <v>6500000</v>
      </c>
      <c r="N3" s="7">
        <v>20000000</v>
      </c>
      <c r="O3" s="7">
        <v>20000000</v>
      </c>
      <c r="P3" s="7">
        <v>7500000</v>
      </c>
      <c r="Q3" s="7">
        <v>70000000</v>
      </c>
      <c r="R3" s="8"/>
      <c r="S3" s="8"/>
      <c r="T3" s="7">
        <f>SUM(B3:Q3)</f>
        <v>522503000</v>
      </c>
      <c r="U3" s="7">
        <f>SUM(Q3,P3,M3,L3,K3,J3,H3,G3,F3,E3,D3,C3,B3)</f>
        <v>417503000</v>
      </c>
      <c r="V3" s="7">
        <f t="shared" si="0"/>
        <v>105000000</v>
      </c>
    </row>
    <row r="4" spans="1:22" ht="24" thickTop="1" thickBot="1" x14ac:dyDescent="0.3">
      <c r="A4" s="6" t="s">
        <v>8</v>
      </c>
      <c r="B4" s="7">
        <v>16363000</v>
      </c>
      <c r="C4" s="7">
        <v>13640000</v>
      </c>
      <c r="D4" s="7">
        <v>27000000</v>
      </c>
      <c r="E4" s="7">
        <v>4500000</v>
      </c>
      <c r="F4" s="7">
        <v>40000000</v>
      </c>
      <c r="G4" s="7">
        <v>30000000</v>
      </c>
      <c r="H4" s="7">
        <v>32000000</v>
      </c>
      <c r="I4" s="7">
        <v>65000000</v>
      </c>
      <c r="J4" s="7">
        <v>50000000</v>
      </c>
      <c r="K4" s="7">
        <v>60000000</v>
      </c>
      <c r="L4" s="7">
        <v>60000000</v>
      </c>
      <c r="M4" s="7">
        <v>6500000</v>
      </c>
      <c r="N4" s="7">
        <v>20000000</v>
      </c>
      <c r="O4" s="7">
        <v>20000000</v>
      </c>
      <c r="P4" s="7">
        <v>7500000</v>
      </c>
      <c r="Q4" s="7">
        <v>70000000</v>
      </c>
      <c r="R4" s="8"/>
      <c r="S4" s="8"/>
      <c r="T4" s="7">
        <f>SUM(B4:Q4)</f>
        <v>522503000</v>
      </c>
      <c r="U4" s="7">
        <f>SUM(Q4,P4,M4,L4,K4,J4,H4,G4,F4,E4,D4,C4,B4)</f>
        <v>417503000</v>
      </c>
      <c r="V4" s="7">
        <f t="shared" si="0"/>
        <v>105000000</v>
      </c>
    </row>
    <row r="5" spans="1:22" ht="24" thickTop="1" thickBot="1" x14ac:dyDescent="0.3">
      <c r="A5" s="6" t="s">
        <v>9</v>
      </c>
      <c r="B5" s="7">
        <v>16363000</v>
      </c>
      <c r="C5" s="7">
        <v>13640000</v>
      </c>
      <c r="D5" s="7">
        <v>27000000</v>
      </c>
      <c r="E5" s="7">
        <v>4500000</v>
      </c>
      <c r="F5" s="7">
        <v>40000000</v>
      </c>
      <c r="G5" s="7">
        <v>30000000</v>
      </c>
      <c r="H5" s="7">
        <v>32000000</v>
      </c>
      <c r="I5" s="7">
        <v>65000000</v>
      </c>
      <c r="J5" s="7">
        <v>50000000</v>
      </c>
      <c r="K5" s="7">
        <v>60000000</v>
      </c>
      <c r="L5" s="7">
        <v>60000000</v>
      </c>
      <c r="M5" s="7">
        <v>6500000</v>
      </c>
      <c r="N5" s="7">
        <v>20000000</v>
      </c>
      <c r="O5" s="7">
        <v>20000000</v>
      </c>
      <c r="P5" s="7">
        <v>7500000</v>
      </c>
      <c r="Q5" s="7">
        <v>70000000</v>
      </c>
      <c r="R5" s="8"/>
      <c r="S5" s="8"/>
      <c r="T5" s="7">
        <f>SUM(B5:Q5)</f>
        <v>522503000</v>
      </c>
      <c r="U5" s="7">
        <f>SUM(Q5,P5,M5,L5,K5,J5,H5,G5,F5,E5,D5,C5,B5)</f>
        <v>417503000</v>
      </c>
      <c r="V5" s="7">
        <f t="shared" si="0"/>
        <v>105000000</v>
      </c>
    </row>
    <row r="6" spans="1:22" ht="24" thickTop="1" thickBot="1" x14ac:dyDescent="0.3">
      <c r="A6" s="6" t="s">
        <v>10</v>
      </c>
      <c r="B6" s="7">
        <v>16363000</v>
      </c>
      <c r="C6" s="7">
        <v>13640000</v>
      </c>
      <c r="D6" s="7">
        <v>27000000</v>
      </c>
      <c r="E6" s="7">
        <v>0</v>
      </c>
      <c r="F6" s="7">
        <v>40000000</v>
      </c>
      <c r="G6" s="7">
        <v>30000000</v>
      </c>
      <c r="H6" s="7">
        <v>32000000</v>
      </c>
      <c r="I6" s="7">
        <v>65000000</v>
      </c>
      <c r="J6" s="7">
        <v>50000000</v>
      </c>
      <c r="K6" s="7">
        <v>60000000</v>
      </c>
      <c r="L6" s="7">
        <v>60000000</v>
      </c>
      <c r="M6" s="7">
        <v>6500000</v>
      </c>
      <c r="N6" s="7">
        <v>20000000</v>
      </c>
      <c r="O6" s="7">
        <v>20000000</v>
      </c>
      <c r="P6" s="7">
        <v>7500000</v>
      </c>
      <c r="Q6" s="7">
        <v>70000000</v>
      </c>
      <c r="R6" s="8"/>
      <c r="S6" s="8"/>
      <c r="T6" s="7">
        <f>SUM(B6:Q6)</f>
        <v>518003000</v>
      </c>
      <c r="U6" s="7">
        <f>SUM(Q6,P6,M6,L6,K6,J6,H6,G6,F6,E6,D6,C6,B6)</f>
        <v>413003000</v>
      </c>
      <c r="V6" s="7">
        <f t="shared" si="0"/>
        <v>105000000</v>
      </c>
    </row>
    <row r="7" spans="1:22" ht="23.25" thickTop="1" x14ac:dyDescent="0.25">
      <c r="A7" s="9" t="s">
        <v>11</v>
      </c>
      <c r="B7" s="10">
        <v>16363000</v>
      </c>
      <c r="C7" s="10">
        <v>13640000</v>
      </c>
      <c r="D7" s="10">
        <v>27000000</v>
      </c>
      <c r="E7" s="10">
        <v>0</v>
      </c>
      <c r="F7" s="10">
        <v>40000000</v>
      </c>
      <c r="G7" s="10">
        <v>0</v>
      </c>
      <c r="H7" s="10">
        <v>32000000</v>
      </c>
      <c r="I7" s="10">
        <v>25000000</v>
      </c>
      <c r="J7" s="10">
        <v>50000000</v>
      </c>
      <c r="K7" s="10">
        <v>60000000</v>
      </c>
      <c r="L7" s="10">
        <v>30000000</v>
      </c>
      <c r="M7" s="10">
        <v>6500000</v>
      </c>
      <c r="N7" s="10">
        <v>32000000</v>
      </c>
      <c r="O7" s="10">
        <v>20000000</v>
      </c>
      <c r="P7" s="10">
        <v>7500000</v>
      </c>
      <c r="Q7" s="10">
        <v>70000000</v>
      </c>
      <c r="R7" s="11"/>
      <c r="S7" s="11"/>
      <c r="T7" s="10">
        <f>SUM(B7:R7)</f>
        <v>430003000</v>
      </c>
      <c r="U7" s="10">
        <f>SUM(Q7,P7,M7,L7,K7,J7,H7,G7,F7,E7,D7,C7,B7,R7)</f>
        <v>353003000</v>
      </c>
      <c r="V7" s="10">
        <f t="shared" si="0"/>
        <v>77000000</v>
      </c>
    </row>
    <row r="8" spans="1:22" x14ac:dyDescent="0.25">
      <c r="A8" s="9" t="s">
        <v>12</v>
      </c>
      <c r="B8" s="10">
        <v>57600000</v>
      </c>
      <c r="C8" s="10">
        <v>17540000</v>
      </c>
      <c r="D8" s="10">
        <v>27000000</v>
      </c>
      <c r="E8" s="10">
        <v>62000000</v>
      </c>
      <c r="F8" s="10">
        <v>40000000</v>
      </c>
      <c r="G8" s="10">
        <v>0</v>
      </c>
      <c r="H8" s="10">
        <v>32000000</v>
      </c>
      <c r="I8" s="10">
        <v>25000000</v>
      </c>
      <c r="J8" s="10">
        <v>50000000</v>
      </c>
      <c r="K8" s="10">
        <v>60000000</v>
      </c>
      <c r="L8" s="10">
        <v>30000000</v>
      </c>
      <c r="M8" s="10">
        <v>6500000</v>
      </c>
      <c r="N8" s="10">
        <v>32000000</v>
      </c>
      <c r="O8" s="10">
        <v>20000000</v>
      </c>
      <c r="P8" s="10">
        <v>7500000</v>
      </c>
      <c r="Q8" s="10">
        <v>70000000</v>
      </c>
      <c r="R8" s="11">
        <v>97000000</v>
      </c>
      <c r="S8" s="11"/>
      <c r="T8" s="10">
        <f t="shared" ref="T8:T13" si="1">SUM(B8:R8)</f>
        <v>634140000</v>
      </c>
      <c r="U8" s="10">
        <f t="shared" ref="U8:U13" si="2">SUM(Q8,P8,M8,L8,K8,J8,H8,G8,F8,E8,D8,C8,B8,R8)</f>
        <v>557140000</v>
      </c>
      <c r="V8" s="10">
        <f t="shared" si="0"/>
        <v>77000000</v>
      </c>
    </row>
    <row r="9" spans="1:22" x14ac:dyDescent="0.25">
      <c r="A9" s="9" t="s">
        <v>13</v>
      </c>
      <c r="B9" s="10">
        <v>16363000</v>
      </c>
      <c r="C9" s="10">
        <v>22500000</v>
      </c>
      <c r="D9" s="10">
        <v>27000000</v>
      </c>
      <c r="E9" s="10">
        <v>62000000</v>
      </c>
      <c r="F9" s="10">
        <v>40000000</v>
      </c>
      <c r="G9" s="10">
        <v>0</v>
      </c>
      <c r="H9" s="10">
        <v>32000000</v>
      </c>
      <c r="I9" s="10">
        <v>0</v>
      </c>
      <c r="J9" s="10">
        <v>50000000</v>
      </c>
      <c r="K9" s="10">
        <v>60000000</v>
      </c>
      <c r="L9" s="10">
        <v>30000000</v>
      </c>
      <c r="M9" s="10">
        <v>6500000</v>
      </c>
      <c r="N9" s="10">
        <v>32000000</v>
      </c>
      <c r="O9" s="10">
        <v>20000000</v>
      </c>
      <c r="P9" s="10">
        <v>7500000</v>
      </c>
      <c r="Q9" s="10">
        <v>70000000</v>
      </c>
      <c r="R9" s="11">
        <v>51000000</v>
      </c>
      <c r="S9" s="11"/>
      <c r="T9" s="10">
        <f t="shared" si="1"/>
        <v>526863000</v>
      </c>
      <c r="U9" s="10">
        <f t="shared" si="2"/>
        <v>474863000</v>
      </c>
      <c r="V9" s="10">
        <f t="shared" si="0"/>
        <v>52000000</v>
      </c>
    </row>
    <row r="10" spans="1:22" x14ac:dyDescent="0.25">
      <c r="A10" s="9" t="s">
        <v>14</v>
      </c>
      <c r="B10" s="10">
        <v>16363000</v>
      </c>
      <c r="C10" s="10">
        <v>22500000</v>
      </c>
      <c r="D10" s="10">
        <v>27000000</v>
      </c>
      <c r="E10" s="10">
        <v>62000000</v>
      </c>
      <c r="F10" s="10">
        <v>40000000</v>
      </c>
      <c r="G10" s="10">
        <v>0</v>
      </c>
      <c r="H10" s="10">
        <v>32000000</v>
      </c>
      <c r="I10" s="10">
        <v>0</v>
      </c>
      <c r="J10" s="10">
        <v>50000000</v>
      </c>
      <c r="K10" s="10">
        <v>60000000</v>
      </c>
      <c r="L10" s="10">
        <v>30000000</v>
      </c>
      <c r="M10" s="10">
        <v>6500000</v>
      </c>
      <c r="N10" s="10">
        <v>20000000</v>
      </c>
      <c r="O10" s="10">
        <v>20000000</v>
      </c>
      <c r="P10" s="10">
        <v>7500000</v>
      </c>
      <c r="Q10" s="10">
        <v>70000000</v>
      </c>
      <c r="R10" s="11">
        <v>51000000</v>
      </c>
      <c r="S10" s="11"/>
      <c r="T10" s="10">
        <f t="shared" si="1"/>
        <v>514863000</v>
      </c>
      <c r="U10" s="10">
        <f t="shared" si="2"/>
        <v>474863000</v>
      </c>
      <c r="V10" s="10">
        <f t="shared" si="0"/>
        <v>40000000</v>
      </c>
    </row>
    <row r="11" spans="1:22" x14ac:dyDescent="0.25">
      <c r="A11" s="9" t="s">
        <v>15</v>
      </c>
      <c r="B11" s="10">
        <v>16363000</v>
      </c>
      <c r="C11" s="10">
        <v>22500000</v>
      </c>
      <c r="D11" s="10">
        <v>27000000</v>
      </c>
      <c r="E11" s="10">
        <v>62000000</v>
      </c>
      <c r="F11" s="10">
        <v>40000000</v>
      </c>
      <c r="G11" s="10">
        <v>0</v>
      </c>
      <c r="H11" s="10">
        <v>32000000</v>
      </c>
      <c r="I11" s="10">
        <v>0</v>
      </c>
      <c r="J11" s="10">
        <v>50000000</v>
      </c>
      <c r="K11" s="10">
        <v>60000000</v>
      </c>
      <c r="L11" s="10">
        <v>30000000</v>
      </c>
      <c r="M11" s="10">
        <v>6500000</v>
      </c>
      <c r="N11" s="10">
        <v>20000000</v>
      </c>
      <c r="O11" s="10">
        <v>20000000</v>
      </c>
      <c r="P11" s="10">
        <v>7500000</v>
      </c>
      <c r="Q11" s="10">
        <v>70000000</v>
      </c>
      <c r="R11" s="11">
        <v>51000000</v>
      </c>
      <c r="S11" s="11"/>
      <c r="T11" s="10">
        <f t="shared" si="1"/>
        <v>514863000</v>
      </c>
      <c r="U11" s="10">
        <f t="shared" si="2"/>
        <v>474863000</v>
      </c>
      <c r="V11" s="10">
        <f t="shared" si="0"/>
        <v>40000000</v>
      </c>
    </row>
    <row r="12" spans="1:22" x14ac:dyDescent="0.25">
      <c r="A12" s="9" t="s">
        <v>16</v>
      </c>
      <c r="B12" s="10">
        <v>16363000</v>
      </c>
      <c r="C12" s="10">
        <v>22500000</v>
      </c>
      <c r="D12" s="10">
        <v>27000000</v>
      </c>
      <c r="E12" s="10">
        <v>62000000</v>
      </c>
      <c r="F12" s="10">
        <v>40000000</v>
      </c>
      <c r="G12" s="10">
        <v>0</v>
      </c>
      <c r="H12" s="10">
        <v>32000000</v>
      </c>
      <c r="I12" s="10">
        <v>0</v>
      </c>
      <c r="J12" s="10">
        <v>50000000</v>
      </c>
      <c r="K12" s="10">
        <v>60000000</v>
      </c>
      <c r="L12" s="10">
        <v>30000000</v>
      </c>
      <c r="M12" s="10">
        <v>6500000</v>
      </c>
      <c r="N12" s="10">
        <v>20000000</v>
      </c>
      <c r="O12" s="10">
        <v>20000000</v>
      </c>
      <c r="P12" s="10">
        <v>7500000</v>
      </c>
      <c r="Q12" s="10">
        <v>70000000</v>
      </c>
      <c r="R12" s="11">
        <v>51000000</v>
      </c>
      <c r="S12" s="11"/>
      <c r="T12" s="10">
        <f t="shared" si="1"/>
        <v>514863000</v>
      </c>
      <c r="U12" s="10">
        <f t="shared" si="2"/>
        <v>474863000</v>
      </c>
      <c r="V12" s="10">
        <f t="shared" si="0"/>
        <v>40000000</v>
      </c>
    </row>
    <row r="13" spans="1:22" x14ac:dyDescent="0.25">
      <c r="A13" s="9" t="s">
        <v>17</v>
      </c>
      <c r="B13" s="10">
        <v>16363000</v>
      </c>
      <c r="C13" s="10">
        <v>22500000</v>
      </c>
      <c r="D13" s="10">
        <v>27000000</v>
      </c>
      <c r="E13" s="10">
        <v>62000000</v>
      </c>
      <c r="F13" s="10">
        <v>40000000</v>
      </c>
      <c r="G13" s="10">
        <v>0</v>
      </c>
      <c r="H13" s="10">
        <v>0</v>
      </c>
      <c r="I13" s="10">
        <v>0</v>
      </c>
      <c r="J13" s="10">
        <v>50000000</v>
      </c>
      <c r="K13" s="10">
        <v>60000000</v>
      </c>
      <c r="L13" s="10">
        <v>30000000</v>
      </c>
      <c r="M13" s="10">
        <v>0</v>
      </c>
      <c r="N13" s="10">
        <v>20000000</v>
      </c>
      <c r="O13" s="10">
        <v>20000000</v>
      </c>
      <c r="P13" s="10">
        <v>7500000</v>
      </c>
      <c r="Q13" s="10">
        <v>70000000</v>
      </c>
      <c r="R13" s="11">
        <v>51000000</v>
      </c>
      <c r="S13" s="11"/>
      <c r="T13" s="10">
        <f t="shared" si="1"/>
        <v>476363000</v>
      </c>
      <c r="U13" s="10">
        <f t="shared" si="2"/>
        <v>436363000</v>
      </c>
      <c r="V13" s="10">
        <f t="shared" si="0"/>
        <v>40000000</v>
      </c>
    </row>
    <row r="16" spans="1:22" x14ac:dyDescent="0.25">
      <c r="A16" s="3">
        <v>1405</v>
      </c>
      <c r="B16" s="4" t="s">
        <v>4</v>
      </c>
      <c r="C16" s="4" t="s">
        <v>18</v>
      </c>
      <c r="D16" s="4" t="s">
        <v>20</v>
      </c>
      <c r="E16" s="4" t="s">
        <v>21</v>
      </c>
      <c r="F16" s="3" t="s">
        <v>21</v>
      </c>
      <c r="G16" s="4" t="s">
        <v>21</v>
      </c>
      <c r="H16" s="3" t="s">
        <v>25</v>
      </c>
      <c r="I16" s="4" t="s">
        <v>31</v>
      </c>
      <c r="J16" s="4" t="s">
        <v>45</v>
      </c>
      <c r="K16" s="4" t="s">
        <v>44</v>
      </c>
      <c r="L16" s="4" t="s">
        <v>33</v>
      </c>
      <c r="M16" s="4" t="s">
        <v>34</v>
      </c>
      <c r="N16" s="3" t="s">
        <v>46</v>
      </c>
      <c r="O16" s="3" t="s">
        <v>47</v>
      </c>
      <c r="P16" s="4" t="s">
        <v>48</v>
      </c>
      <c r="Q16" s="4" t="s">
        <v>21</v>
      </c>
      <c r="R16" s="3" t="s">
        <v>53</v>
      </c>
    </row>
    <row r="17" spans="1:22" x14ac:dyDescent="0.25">
      <c r="A17" s="9" t="s">
        <v>6</v>
      </c>
      <c r="B17" s="10">
        <v>16363000</v>
      </c>
      <c r="C17" s="10">
        <v>22500000</v>
      </c>
      <c r="D17" s="10">
        <v>27000000</v>
      </c>
      <c r="E17" s="10">
        <v>62000000</v>
      </c>
      <c r="F17" s="10">
        <v>40000000</v>
      </c>
      <c r="G17" s="10">
        <v>0</v>
      </c>
      <c r="H17" s="10">
        <v>0</v>
      </c>
      <c r="I17" s="10">
        <v>0</v>
      </c>
      <c r="J17" s="10">
        <v>50000000</v>
      </c>
      <c r="K17" s="10">
        <v>60000000</v>
      </c>
      <c r="L17" s="10">
        <v>30000000</v>
      </c>
      <c r="M17" s="10">
        <v>0</v>
      </c>
      <c r="N17" s="10">
        <v>20000000</v>
      </c>
      <c r="O17" s="10">
        <v>20000000</v>
      </c>
      <c r="P17" s="10">
        <v>7500000</v>
      </c>
      <c r="Q17" s="10">
        <v>70000000</v>
      </c>
      <c r="R17" s="11">
        <v>51000000</v>
      </c>
      <c r="S17" s="5"/>
      <c r="T17" s="10">
        <f t="shared" ref="T17:T28" si="3">SUM(B17:R17)</f>
        <v>476363000</v>
      </c>
      <c r="U17" s="10">
        <f t="shared" ref="U17:U28" si="4">SUM(Q17,P17,M17,L17,K17,J17,H17,G17,F17,E17,D17,C17,B17,R17)</f>
        <v>436363000</v>
      </c>
      <c r="V17" s="10">
        <f>SUM(O17,N17,I17)</f>
        <v>40000000</v>
      </c>
    </row>
    <row r="18" spans="1:22" x14ac:dyDescent="0.25">
      <c r="A18" s="9" t="s">
        <v>7</v>
      </c>
      <c r="B18" s="10">
        <v>16363000</v>
      </c>
      <c r="C18" s="10">
        <v>22500000</v>
      </c>
      <c r="D18" s="10">
        <v>27000000</v>
      </c>
      <c r="E18" s="10">
        <v>62000000</v>
      </c>
      <c r="F18" s="10">
        <v>0</v>
      </c>
      <c r="G18" s="10">
        <v>0</v>
      </c>
      <c r="H18" s="10">
        <v>0</v>
      </c>
      <c r="I18" s="10">
        <v>0</v>
      </c>
      <c r="J18" s="10">
        <v>50000000</v>
      </c>
      <c r="K18" s="10">
        <v>60000000</v>
      </c>
      <c r="L18" s="10">
        <v>30000000</v>
      </c>
      <c r="M18" s="10">
        <v>0</v>
      </c>
      <c r="N18" s="10">
        <v>20000000</v>
      </c>
      <c r="O18" s="10">
        <v>20000000</v>
      </c>
      <c r="P18" s="10">
        <v>7500000</v>
      </c>
      <c r="Q18" s="10">
        <v>0</v>
      </c>
      <c r="R18" s="11">
        <v>51000000</v>
      </c>
      <c r="S18" s="5"/>
      <c r="T18" s="10">
        <f t="shared" si="3"/>
        <v>366363000</v>
      </c>
      <c r="U18" s="10">
        <f t="shared" si="4"/>
        <v>326363000</v>
      </c>
      <c r="V18" s="10">
        <f t="shared" ref="V18:V28" si="5">SUM(O18,N18,I18)</f>
        <v>40000000</v>
      </c>
    </row>
    <row r="19" spans="1:22" x14ac:dyDescent="0.25">
      <c r="A19" s="9" t="s">
        <v>8</v>
      </c>
      <c r="B19" s="10">
        <v>16363000</v>
      </c>
      <c r="C19" s="10">
        <v>22500000</v>
      </c>
      <c r="D19" s="10">
        <v>27000000</v>
      </c>
      <c r="E19" s="10">
        <v>62000000</v>
      </c>
      <c r="F19" s="10">
        <v>0</v>
      </c>
      <c r="G19" s="10">
        <v>0</v>
      </c>
      <c r="H19" s="10">
        <v>0</v>
      </c>
      <c r="I19" s="10">
        <v>0</v>
      </c>
      <c r="J19" s="10">
        <v>50000000</v>
      </c>
      <c r="K19" s="10">
        <v>60000000</v>
      </c>
      <c r="L19" s="10">
        <v>30000000</v>
      </c>
      <c r="M19" s="10">
        <v>0</v>
      </c>
      <c r="N19" s="10">
        <v>20000000</v>
      </c>
      <c r="O19" s="10">
        <v>20000000</v>
      </c>
      <c r="P19" s="10">
        <v>7500000</v>
      </c>
      <c r="Q19" s="10">
        <v>0</v>
      </c>
      <c r="R19" s="11">
        <v>51000000</v>
      </c>
      <c r="S19" s="5"/>
      <c r="T19" s="10">
        <f t="shared" si="3"/>
        <v>366363000</v>
      </c>
      <c r="U19" s="10">
        <f t="shared" si="4"/>
        <v>326363000</v>
      </c>
      <c r="V19" s="10">
        <f t="shared" si="5"/>
        <v>40000000</v>
      </c>
    </row>
    <row r="20" spans="1:22" x14ac:dyDescent="0.25">
      <c r="A20" s="9" t="s">
        <v>9</v>
      </c>
      <c r="B20" s="10">
        <v>16363000</v>
      </c>
      <c r="C20" s="10">
        <v>22500000</v>
      </c>
      <c r="D20" s="10">
        <v>27000000</v>
      </c>
      <c r="E20" s="10">
        <v>62000000</v>
      </c>
      <c r="F20" s="10">
        <v>0</v>
      </c>
      <c r="G20" s="10">
        <v>0</v>
      </c>
      <c r="H20" s="10">
        <v>0</v>
      </c>
      <c r="I20" s="10">
        <v>0</v>
      </c>
      <c r="J20" s="10">
        <v>50000000</v>
      </c>
      <c r="K20" s="10">
        <v>60000000</v>
      </c>
      <c r="L20" s="10">
        <v>30000000</v>
      </c>
      <c r="M20" s="10">
        <v>0</v>
      </c>
      <c r="N20" s="10">
        <v>20000000</v>
      </c>
      <c r="O20" s="10">
        <v>20000000</v>
      </c>
      <c r="P20" s="10">
        <v>7500000</v>
      </c>
      <c r="Q20" s="10">
        <v>0</v>
      </c>
      <c r="R20" s="11">
        <v>51000000</v>
      </c>
      <c r="S20" s="5"/>
      <c r="T20" s="10">
        <f t="shared" si="3"/>
        <v>366363000</v>
      </c>
      <c r="U20" s="10">
        <f t="shared" si="4"/>
        <v>326363000</v>
      </c>
      <c r="V20" s="10">
        <f t="shared" si="5"/>
        <v>40000000</v>
      </c>
    </row>
    <row r="21" spans="1:22" x14ac:dyDescent="0.25">
      <c r="A21" s="9" t="s">
        <v>10</v>
      </c>
      <c r="B21" s="10">
        <v>16363000</v>
      </c>
      <c r="C21" s="10">
        <v>22500000</v>
      </c>
      <c r="D21" s="10">
        <v>27000000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50000000</v>
      </c>
      <c r="K21" s="10">
        <v>60000000</v>
      </c>
      <c r="L21" s="10">
        <v>30000000</v>
      </c>
      <c r="M21" s="10">
        <v>0</v>
      </c>
      <c r="N21" s="10">
        <v>20000000</v>
      </c>
      <c r="O21" s="10">
        <v>20000000</v>
      </c>
      <c r="P21" s="10">
        <v>7500000</v>
      </c>
      <c r="Q21" s="10">
        <v>0</v>
      </c>
      <c r="R21" s="11">
        <v>51000000</v>
      </c>
      <c r="S21" s="5"/>
      <c r="T21" s="10">
        <f t="shared" si="3"/>
        <v>304363000</v>
      </c>
      <c r="U21" s="10">
        <f t="shared" si="4"/>
        <v>264363000</v>
      </c>
      <c r="V21" s="10">
        <f t="shared" si="5"/>
        <v>40000000</v>
      </c>
    </row>
    <row r="22" spans="1:22" x14ac:dyDescent="0.25">
      <c r="A22" s="9" t="s">
        <v>11</v>
      </c>
      <c r="B22" s="10">
        <v>16363000</v>
      </c>
      <c r="C22" s="10">
        <v>22500000</v>
      </c>
      <c r="D22" s="10">
        <v>27000000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50000000</v>
      </c>
      <c r="K22" s="10">
        <v>60000000</v>
      </c>
      <c r="L22" s="10">
        <v>30000000</v>
      </c>
      <c r="M22" s="10">
        <v>0</v>
      </c>
      <c r="N22" s="10">
        <v>20000000</v>
      </c>
      <c r="O22" s="10">
        <v>20000000</v>
      </c>
      <c r="P22" s="10">
        <v>7500000</v>
      </c>
      <c r="Q22" s="10">
        <v>0</v>
      </c>
      <c r="R22" s="11">
        <v>51000000</v>
      </c>
      <c r="S22" s="5"/>
      <c r="T22" s="10">
        <f t="shared" si="3"/>
        <v>304363000</v>
      </c>
      <c r="U22" s="10">
        <f t="shared" si="4"/>
        <v>264363000</v>
      </c>
      <c r="V22" s="10">
        <f t="shared" si="5"/>
        <v>40000000</v>
      </c>
    </row>
    <row r="23" spans="1:22" x14ac:dyDescent="0.25">
      <c r="A23" s="9" t="s">
        <v>12</v>
      </c>
      <c r="B23" s="10">
        <v>50400000</v>
      </c>
      <c r="C23" s="10">
        <v>17540000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50000000</v>
      </c>
      <c r="K23" s="10">
        <v>60000000</v>
      </c>
      <c r="L23" s="10">
        <v>30000000</v>
      </c>
      <c r="M23" s="10">
        <v>0</v>
      </c>
      <c r="N23" s="10">
        <v>20000000</v>
      </c>
      <c r="O23" s="10">
        <v>20000000</v>
      </c>
      <c r="P23" s="10">
        <v>7500000</v>
      </c>
      <c r="Q23" s="10">
        <v>0</v>
      </c>
      <c r="R23" s="11">
        <v>51000000</v>
      </c>
      <c r="S23" s="5"/>
      <c r="T23" s="10">
        <f t="shared" si="3"/>
        <v>306440000</v>
      </c>
      <c r="U23" s="10">
        <f t="shared" si="4"/>
        <v>266440000</v>
      </c>
      <c r="V23" s="10">
        <f t="shared" si="5"/>
        <v>40000000</v>
      </c>
    </row>
    <row r="24" spans="1:22" x14ac:dyDescent="0.25">
      <c r="A24" s="9" t="s">
        <v>13</v>
      </c>
      <c r="B24" s="10">
        <v>16363000</v>
      </c>
      <c r="C24" s="10">
        <v>22500000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50000000</v>
      </c>
      <c r="K24" s="10">
        <v>60000000</v>
      </c>
      <c r="L24" s="10">
        <v>30000000</v>
      </c>
      <c r="M24" s="10">
        <v>0</v>
      </c>
      <c r="N24" s="10">
        <v>20000000</v>
      </c>
      <c r="O24" s="10">
        <v>20000000</v>
      </c>
      <c r="P24" s="10">
        <v>7500000</v>
      </c>
      <c r="Q24" s="10">
        <v>0</v>
      </c>
      <c r="R24" s="11">
        <v>51000000</v>
      </c>
      <c r="S24" s="5"/>
      <c r="T24" s="10">
        <f t="shared" si="3"/>
        <v>277363000</v>
      </c>
      <c r="U24" s="10">
        <f t="shared" si="4"/>
        <v>237363000</v>
      </c>
      <c r="V24" s="10">
        <f t="shared" si="5"/>
        <v>40000000</v>
      </c>
    </row>
    <row r="25" spans="1:22" x14ac:dyDescent="0.25">
      <c r="A25" s="9" t="s">
        <v>14</v>
      </c>
      <c r="B25" s="10">
        <v>16363000</v>
      </c>
      <c r="C25" s="10">
        <v>22500000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50000000</v>
      </c>
      <c r="K25" s="10">
        <v>60000000</v>
      </c>
      <c r="L25" s="10">
        <v>30000000</v>
      </c>
      <c r="M25" s="10">
        <v>0</v>
      </c>
      <c r="N25" s="10">
        <v>20000000</v>
      </c>
      <c r="O25" s="10">
        <v>20000000</v>
      </c>
      <c r="P25" s="10">
        <v>7500000</v>
      </c>
      <c r="Q25" s="10">
        <v>0</v>
      </c>
      <c r="R25" s="11">
        <v>51000000</v>
      </c>
      <c r="S25" s="5"/>
      <c r="T25" s="10">
        <f t="shared" si="3"/>
        <v>277363000</v>
      </c>
      <c r="U25" s="10">
        <f t="shared" si="4"/>
        <v>237363000</v>
      </c>
      <c r="V25" s="10">
        <f t="shared" si="5"/>
        <v>40000000</v>
      </c>
    </row>
    <row r="26" spans="1:22" x14ac:dyDescent="0.25">
      <c r="A26" s="9" t="s">
        <v>15</v>
      </c>
      <c r="B26" s="10">
        <v>16363000</v>
      </c>
      <c r="C26" s="10">
        <v>22500000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60000000</v>
      </c>
      <c r="L26" s="10">
        <v>30000000</v>
      </c>
      <c r="M26" s="10">
        <v>0</v>
      </c>
      <c r="N26" s="10">
        <v>20000000</v>
      </c>
      <c r="O26" s="10">
        <v>20000000</v>
      </c>
      <c r="P26" s="10">
        <v>7500000</v>
      </c>
      <c r="Q26" s="10">
        <v>0</v>
      </c>
      <c r="R26" s="11">
        <v>51000000</v>
      </c>
      <c r="S26" s="5"/>
      <c r="T26" s="10">
        <f t="shared" si="3"/>
        <v>227363000</v>
      </c>
      <c r="U26" s="10">
        <f t="shared" si="4"/>
        <v>187363000</v>
      </c>
      <c r="V26" s="10">
        <f t="shared" si="5"/>
        <v>40000000</v>
      </c>
    </row>
    <row r="27" spans="1:22" x14ac:dyDescent="0.25">
      <c r="A27" s="9" t="s">
        <v>16</v>
      </c>
      <c r="B27" s="10">
        <v>16363000</v>
      </c>
      <c r="C27" s="10">
        <v>22500000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30000000</v>
      </c>
      <c r="M27" s="10">
        <v>0</v>
      </c>
      <c r="N27" s="10">
        <v>20000000</v>
      </c>
      <c r="O27" s="10">
        <v>20000000</v>
      </c>
      <c r="P27" s="10">
        <v>7500000</v>
      </c>
      <c r="Q27" s="10">
        <v>0</v>
      </c>
      <c r="R27" s="11">
        <v>51000000</v>
      </c>
      <c r="S27" s="5"/>
      <c r="T27" s="10">
        <f t="shared" si="3"/>
        <v>167363000</v>
      </c>
      <c r="U27" s="10">
        <f t="shared" si="4"/>
        <v>127363000</v>
      </c>
      <c r="V27" s="10">
        <f t="shared" si="5"/>
        <v>40000000</v>
      </c>
    </row>
    <row r="28" spans="1:22" x14ac:dyDescent="0.25">
      <c r="A28" s="9" t="s">
        <v>17</v>
      </c>
      <c r="B28" s="10">
        <v>16363000</v>
      </c>
      <c r="C28" s="10">
        <v>22500000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30000000</v>
      </c>
      <c r="M28" s="10">
        <v>0</v>
      </c>
      <c r="N28" s="10">
        <v>20000000</v>
      </c>
      <c r="O28" s="10">
        <v>20000000</v>
      </c>
      <c r="P28" s="10">
        <v>7500000</v>
      </c>
      <c r="Q28" s="10">
        <v>0</v>
      </c>
      <c r="R28" s="11">
        <v>51000000</v>
      </c>
      <c r="S28" s="5"/>
      <c r="T28" s="10">
        <f t="shared" si="3"/>
        <v>167363000</v>
      </c>
      <c r="U28" s="10">
        <f t="shared" si="4"/>
        <v>127363000</v>
      </c>
      <c r="V28" s="10">
        <f t="shared" si="5"/>
        <v>40000000</v>
      </c>
    </row>
    <row r="31" spans="1:22" x14ac:dyDescent="0.25">
      <c r="A31" s="3">
        <v>1406</v>
      </c>
      <c r="B31" s="4" t="s">
        <v>4</v>
      </c>
      <c r="C31" s="4" t="s">
        <v>18</v>
      </c>
      <c r="D31" s="4" t="s">
        <v>20</v>
      </c>
      <c r="E31" s="4" t="s">
        <v>21</v>
      </c>
      <c r="F31" s="3" t="s">
        <v>21</v>
      </c>
      <c r="G31" s="4" t="s">
        <v>21</v>
      </c>
      <c r="H31" s="3" t="s">
        <v>25</v>
      </c>
      <c r="I31" s="4" t="s">
        <v>31</v>
      </c>
      <c r="J31" s="4" t="s">
        <v>45</v>
      </c>
      <c r="K31" s="4" t="s">
        <v>44</v>
      </c>
      <c r="L31" s="4" t="s">
        <v>33</v>
      </c>
      <c r="M31" s="4" t="s">
        <v>34</v>
      </c>
      <c r="N31" s="3" t="s">
        <v>46</v>
      </c>
      <c r="O31" s="3" t="s">
        <v>47</v>
      </c>
      <c r="P31" s="4" t="s">
        <v>48</v>
      </c>
      <c r="Q31" s="4" t="s">
        <v>21</v>
      </c>
      <c r="R31" s="3" t="s">
        <v>53</v>
      </c>
    </row>
    <row r="32" spans="1:22" x14ac:dyDescent="0.25">
      <c r="A32" s="9" t="s">
        <v>6</v>
      </c>
      <c r="B32" s="10">
        <v>16363000</v>
      </c>
      <c r="C32" s="10">
        <v>22500000</v>
      </c>
      <c r="D32" s="10">
        <v>27000000</v>
      </c>
      <c r="E32" s="10">
        <v>0</v>
      </c>
      <c r="F32" s="10">
        <v>40000000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30000000</v>
      </c>
      <c r="M32" s="10">
        <v>0</v>
      </c>
      <c r="N32" s="10">
        <v>20000000</v>
      </c>
      <c r="O32" s="10">
        <v>20000000</v>
      </c>
      <c r="P32" s="10">
        <v>7500000</v>
      </c>
      <c r="Q32" s="10"/>
      <c r="R32" s="11">
        <v>51000000</v>
      </c>
      <c r="S32" s="5"/>
      <c r="T32" s="10">
        <f t="shared" ref="T32:T43" si="6">SUM(B32:R32)</f>
        <v>234363000</v>
      </c>
      <c r="U32" s="10">
        <f t="shared" ref="U32:U43" si="7">SUM(Q32,P32,M32,L32,K32,J32,H32,G32,F32,E32,D32,C32,B32,R32)</f>
        <v>194363000</v>
      </c>
      <c r="V32" s="10">
        <f>SUM(O32,N32,I32)</f>
        <v>40000000</v>
      </c>
    </row>
    <row r="33" spans="1:22" x14ac:dyDescent="0.25">
      <c r="A33" s="9" t="s">
        <v>7</v>
      </c>
      <c r="B33" s="10">
        <v>16363000</v>
      </c>
      <c r="C33" s="10">
        <v>22500000</v>
      </c>
      <c r="D33" s="10">
        <v>27000000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30000000</v>
      </c>
      <c r="M33" s="10">
        <v>0</v>
      </c>
      <c r="N33" s="10">
        <v>20000000</v>
      </c>
      <c r="O33" s="10">
        <v>20000000</v>
      </c>
      <c r="P33" s="10">
        <v>7500000</v>
      </c>
      <c r="Q33" s="10">
        <v>0</v>
      </c>
      <c r="R33" s="11">
        <v>51000000</v>
      </c>
      <c r="S33" s="5"/>
      <c r="T33" s="10">
        <f t="shared" si="6"/>
        <v>194363000</v>
      </c>
      <c r="U33" s="10">
        <f t="shared" si="7"/>
        <v>154363000</v>
      </c>
      <c r="V33" s="10">
        <f t="shared" ref="V33:V43" si="8">SUM(O33,N33,I33)</f>
        <v>40000000</v>
      </c>
    </row>
    <row r="34" spans="1:22" x14ac:dyDescent="0.25">
      <c r="A34" s="9" t="s">
        <v>8</v>
      </c>
      <c r="B34" s="10">
        <v>16363000</v>
      </c>
      <c r="C34" s="10">
        <v>22500000</v>
      </c>
      <c r="D34" s="10">
        <v>27000000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30000000</v>
      </c>
      <c r="M34" s="10">
        <v>0</v>
      </c>
      <c r="N34" s="10">
        <v>20000000</v>
      </c>
      <c r="O34" s="10">
        <v>20000000</v>
      </c>
      <c r="P34" s="10">
        <v>7500000</v>
      </c>
      <c r="Q34" s="10">
        <v>0</v>
      </c>
      <c r="R34" s="11">
        <v>51000000</v>
      </c>
      <c r="S34" s="5"/>
      <c r="T34" s="10">
        <f t="shared" si="6"/>
        <v>194363000</v>
      </c>
      <c r="U34" s="10">
        <f t="shared" si="7"/>
        <v>154363000</v>
      </c>
      <c r="V34" s="10">
        <f t="shared" si="8"/>
        <v>40000000</v>
      </c>
    </row>
    <row r="35" spans="1:22" x14ac:dyDescent="0.25">
      <c r="A35" s="9" t="s">
        <v>9</v>
      </c>
      <c r="B35" s="10">
        <v>16363000</v>
      </c>
      <c r="C35" s="10">
        <v>22500000</v>
      </c>
      <c r="D35" s="10">
        <v>27000000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30000000</v>
      </c>
      <c r="M35" s="10">
        <v>0</v>
      </c>
      <c r="N35" s="10">
        <v>20000000</v>
      </c>
      <c r="O35" s="10">
        <v>20000000</v>
      </c>
      <c r="P35" s="10">
        <v>7500000</v>
      </c>
      <c r="Q35" s="10">
        <v>0</v>
      </c>
      <c r="R35" s="11">
        <v>51000000</v>
      </c>
      <c r="S35" s="5"/>
      <c r="T35" s="10">
        <f t="shared" si="6"/>
        <v>194363000</v>
      </c>
      <c r="U35" s="10">
        <f t="shared" si="7"/>
        <v>154363000</v>
      </c>
      <c r="V35" s="10">
        <f t="shared" si="8"/>
        <v>40000000</v>
      </c>
    </row>
    <row r="36" spans="1:22" x14ac:dyDescent="0.25">
      <c r="A36" s="9" t="s">
        <v>10</v>
      </c>
      <c r="B36" s="10">
        <v>16363000</v>
      </c>
      <c r="C36" s="10">
        <v>22500000</v>
      </c>
      <c r="D36" s="10">
        <v>27000000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30000000</v>
      </c>
      <c r="M36" s="10">
        <v>0</v>
      </c>
      <c r="N36" s="10">
        <v>20000000</v>
      </c>
      <c r="O36" s="10">
        <v>20000000</v>
      </c>
      <c r="P36" s="10">
        <v>7500000</v>
      </c>
      <c r="Q36" s="10">
        <v>0</v>
      </c>
      <c r="R36" s="11">
        <v>51000000</v>
      </c>
      <c r="S36" s="5"/>
      <c r="T36" s="10">
        <f t="shared" si="6"/>
        <v>194363000</v>
      </c>
      <c r="U36" s="10">
        <f t="shared" si="7"/>
        <v>154363000</v>
      </c>
      <c r="V36" s="10">
        <f t="shared" si="8"/>
        <v>40000000</v>
      </c>
    </row>
    <row r="37" spans="1:22" x14ac:dyDescent="0.25">
      <c r="A37" s="9" t="s">
        <v>11</v>
      </c>
      <c r="B37" s="10">
        <v>16363000</v>
      </c>
      <c r="C37" s="10">
        <v>0</v>
      </c>
      <c r="D37" s="10">
        <v>27000000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30000000</v>
      </c>
      <c r="M37" s="10">
        <v>0</v>
      </c>
      <c r="N37" s="10">
        <v>20000000</v>
      </c>
      <c r="O37" s="10">
        <v>20000000</v>
      </c>
      <c r="P37" s="10">
        <v>7500000</v>
      </c>
      <c r="Q37" s="10">
        <v>0</v>
      </c>
      <c r="R37" s="11">
        <v>51000000</v>
      </c>
      <c r="S37" s="5"/>
      <c r="T37" s="10">
        <f t="shared" si="6"/>
        <v>171863000</v>
      </c>
      <c r="U37" s="10">
        <f t="shared" si="7"/>
        <v>131863000</v>
      </c>
      <c r="V37" s="10">
        <f t="shared" si="8"/>
        <v>40000000</v>
      </c>
    </row>
    <row r="38" spans="1:22" x14ac:dyDescent="0.25">
      <c r="A38" s="9" t="s">
        <v>12</v>
      </c>
      <c r="B38" s="10">
        <v>43200000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30000000</v>
      </c>
      <c r="M38" s="10">
        <v>0</v>
      </c>
      <c r="N38" s="10">
        <v>20000000</v>
      </c>
      <c r="O38" s="10">
        <v>20000000</v>
      </c>
      <c r="P38" s="10">
        <v>7500000</v>
      </c>
      <c r="Q38" s="10">
        <v>0</v>
      </c>
      <c r="R38" s="11">
        <v>51000000</v>
      </c>
      <c r="S38" s="5"/>
      <c r="T38" s="10">
        <f t="shared" si="6"/>
        <v>171700000</v>
      </c>
      <c r="U38" s="10">
        <f t="shared" si="7"/>
        <v>131700000</v>
      </c>
      <c r="V38" s="10">
        <f t="shared" si="8"/>
        <v>40000000</v>
      </c>
    </row>
    <row r="39" spans="1:22" x14ac:dyDescent="0.25">
      <c r="A39" s="9" t="s">
        <v>13</v>
      </c>
      <c r="B39" s="10">
        <v>16363000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30000000</v>
      </c>
      <c r="M39" s="10">
        <v>0</v>
      </c>
      <c r="N39" s="10">
        <v>20000000</v>
      </c>
      <c r="O39" s="10">
        <v>20000000</v>
      </c>
      <c r="P39" s="10">
        <v>7500000</v>
      </c>
      <c r="Q39" s="10">
        <v>0</v>
      </c>
      <c r="R39" s="11">
        <v>51000000</v>
      </c>
      <c r="S39" s="5"/>
      <c r="T39" s="10">
        <f t="shared" si="6"/>
        <v>144863000</v>
      </c>
      <c r="U39" s="10">
        <f t="shared" si="7"/>
        <v>104863000</v>
      </c>
      <c r="V39" s="10">
        <f t="shared" si="8"/>
        <v>40000000</v>
      </c>
    </row>
    <row r="40" spans="1:22" x14ac:dyDescent="0.25">
      <c r="A40" s="9" t="s">
        <v>14</v>
      </c>
      <c r="B40" s="10">
        <v>16363000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30000000</v>
      </c>
      <c r="M40" s="10">
        <v>0</v>
      </c>
      <c r="N40" s="10">
        <v>20000000</v>
      </c>
      <c r="O40" s="10">
        <v>20000000</v>
      </c>
      <c r="P40" s="10">
        <v>7500000</v>
      </c>
      <c r="Q40" s="10">
        <v>0</v>
      </c>
      <c r="R40" s="11">
        <v>51000000</v>
      </c>
      <c r="S40" s="5"/>
      <c r="T40" s="10">
        <f t="shared" si="6"/>
        <v>144863000</v>
      </c>
      <c r="U40" s="10">
        <f t="shared" si="7"/>
        <v>104863000</v>
      </c>
      <c r="V40" s="10">
        <f t="shared" si="8"/>
        <v>40000000</v>
      </c>
    </row>
    <row r="41" spans="1:22" x14ac:dyDescent="0.25">
      <c r="A41" s="9" t="s">
        <v>15</v>
      </c>
      <c r="B41" s="10">
        <v>16363000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30000000</v>
      </c>
      <c r="M41" s="10">
        <v>0</v>
      </c>
      <c r="N41" s="10">
        <v>20000000</v>
      </c>
      <c r="O41" s="10">
        <v>20000000</v>
      </c>
      <c r="P41" s="10">
        <v>7500000</v>
      </c>
      <c r="Q41" s="10">
        <v>0</v>
      </c>
      <c r="R41" s="11">
        <v>51000000</v>
      </c>
      <c r="S41" s="5"/>
      <c r="T41" s="10">
        <f t="shared" si="6"/>
        <v>144863000</v>
      </c>
      <c r="U41" s="10">
        <f t="shared" si="7"/>
        <v>104863000</v>
      </c>
      <c r="V41" s="10">
        <f t="shared" si="8"/>
        <v>40000000</v>
      </c>
    </row>
    <row r="42" spans="1:22" x14ac:dyDescent="0.25">
      <c r="A42" s="9" t="s">
        <v>16</v>
      </c>
      <c r="B42" s="10">
        <v>16363000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30000000</v>
      </c>
      <c r="M42" s="10">
        <v>0</v>
      </c>
      <c r="N42" s="10">
        <v>20000000</v>
      </c>
      <c r="O42" s="10">
        <v>20000000</v>
      </c>
      <c r="P42" s="10">
        <v>7500000</v>
      </c>
      <c r="Q42" s="10">
        <v>0</v>
      </c>
      <c r="R42" s="11">
        <v>51000000</v>
      </c>
      <c r="S42" s="5"/>
      <c r="T42" s="10">
        <f t="shared" si="6"/>
        <v>144863000</v>
      </c>
      <c r="U42" s="10">
        <f t="shared" si="7"/>
        <v>104863000</v>
      </c>
      <c r="V42" s="10">
        <f t="shared" si="8"/>
        <v>40000000</v>
      </c>
    </row>
    <row r="43" spans="1:22" x14ac:dyDescent="0.25">
      <c r="A43" s="9" t="s">
        <v>17</v>
      </c>
      <c r="B43" s="10">
        <v>16363000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30000000</v>
      </c>
      <c r="M43" s="10">
        <v>0</v>
      </c>
      <c r="N43" s="10">
        <v>20000000</v>
      </c>
      <c r="O43" s="10">
        <v>20000000</v>
      </c>
      <c r="P43" s="10">
        <v>7500000</v>
      </c>
      <c r="Q43" s="10">
        <v>0</v>
      </c>
      <c r="R43" s="11">
        <v>51000000</v>
      </c>
      <c r="S43" s="5"/>
      <c r="T43" s="10">
        <f t="shared" si="6"/>
        <v>144863000</v>
      </c>
      <c r="U43" s="10">
        <f t="shared" si="7"/>
        <v>104863000</v>
      </c>
      <c r="V43" s="10">
        <f t="shared" si="8"/>
        <v>40000000</v>
      </c>
    </row>
    <row r="46" spans="1:22" x14ac:dyDescent="0.25">
      <c r="A46" s="3">
        <v>1407</v>
      </c>
      <c r="B46" s="4" t="s">
        <v>4</v>
      </c>
      <c r="C46" s="4" t="s">
        <v>18</v>
      </c>
      <c r="D46" s="4" t="s">
        <v>20</v>
      </c>
      <c r="E46" s="4" t="s">
        <v>21</v>
      </c>
      <c r="F46" s="3" t="s">
        <v>21</v>
      </c>
      <c r="G46" s="4" t="s">
        <v>21</v>
      </c>
      <c r="H46" s="3" t="s">
        <v>25</v>
      </c>
      <c r="I46" s="4" t="s">
        <v>31</v>
      </c>
      <c r="J46" s="4" t="s">
        <v>45</v>
      </c>
      <c r="K46" s="4" t="s">
        <v>44</v>
      </c>
      <c r="L46" s="4" t="s">
        <v>33</v>
      </c>
      <c r="M46" s="4" t="s">
        <v>34</v>
      </c>
      <c r="N46" s="3" t="s">
        <v>46</v>
      </c>
      <c r="O46" s="3" t="s">
        <v>47</v>
      </c>
      <c r="P46" s="4" t="s">
        <v>48</v>
      </c>
      <c r="Q46" s="4" t="s">
        <v>21</v>
      </c>
      <c r="R46" s="3" t="s">
        <v>53</v>
      </c>
    </row>
    <row r="47" spans="1:22" x14ac:dyDescent="0.25">
      <c r="A47" s="9" t="s">
        <v>6</v>
      </c>
      <c r="B47" s="10">
        <v>16363000</v>
      </c>
      <c r="C47" s="10">
        <v>0</v>
      </c>
      <c r="D47" s="10">
        <v>27000000</v>
      </c>
      <c r="E47" s="10">
        <v>0</v>
      </c>
      <c r="F47" s="10">
        <v>40000000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30000000</v>
      </c>
      <c r="M47" s="10">
        <v>0</v>
      </c>
      <c r="N47" s="10">
        <v>20000000</v>
      </c>
      <c r="O47" s="10">
        <v>20000000</v>
      </c>
      <c r="P47" s="10">
        <v>7500000</v>
      </c>
      <c r="Q47" s="10"/>
      <c r="R47" s="11">
        <v>51000000</v>
      </c>
      <c r="S47" s="5"/>
      <c r="T47" s="10">
        <f t="shared" ref="T47:T58" si="9">SUM(B47:R47)</f>
        <v>211863000</v>
      </c>
      <c r="U47" s="10">
        <f t="shared" ref="U47:U58" si="10">SUM(Q47,P47,M47,L47,K47,J47,H47,G47,F47,E47,D47,C47,B47,R47)</f>
        <v>171863000</v>
      </c>
      <c r="V47" s="10">
        <f>SUM(O47,N47,I47)</f>
        <v>40000000</v>
      </c>
    </row>
    <row r="48" spans="1:22" x14ac:dyDescent="0.25">
      <c r="A48" s="9" t="s">
        <v>7</v>
      </c>
      <c r="B48" s="10">
        <v>16363000</v>
      </c>
      <c r="C48" s="10">
        <v>0</v>
      </c>
      <c r="D48" s="10">
        <v>27000000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30000000</v>
      </c>
      <c r="M48" s="10">
        <v>0</v>
      </c>
      <c r="N48" s="10">
        <v>20000000</v>
      </c>
      <c r="O48" s="10">
        <v>20000000</v>
      </c>
      <c r="P48" s="10">
        <v>7500000</v>
      </c>
      <c r="Q48" s="10">
        <v>0</v>
      </c>
      <c r="R48" s="11">
        <v>51000000</v>
      </c>
      <c r="S48" s="5"/>
      <c r="T48" s="10">
        <f t="shared" si="9"/>
        <v>171863000</v>
      </c>
      <c r="U48" s="10">
        <f t="shared" si="10"/>
        <v>131863000</v>
      </c>
      <c r="V48" s="10">
        <f t="shared" ref="V48:V58" si="11">SUM(O48,N48,I48)</f>
        <v>40000000</v>
      </c>
    </row>
    <row r="49" spans="1:22" x14ac:dyDescent="0.25">
      <c r="A49" s="9" t="s">
        <v>8</v>
      </c>
      <c r="B49" s="10">
        <v>16363000</v>
      </c>
      <c r="C49" s="10">
        <v>0</v>
      </c>
      <c r="D49" s="10">
        <v>27000000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30000000</v>
      </c>
      <c r="M49" s="10">
        <v>0</v>
      </c>
      <c r="N49" s="10">
        <v>20000000</v>
      </c>
      <c r="O49" s="10">
        <v>20000000</v>
      </c>
      <c r="P49" s="10">
        <v>7500000</v>
      </c>
      <c r="Q49" s="10">
        <v>0</v>
      </c>
      <c r="R49" s="11">
        <v>51000000</v>
      </c>
      <c r="S49" s="5"/>
      <c r="T49" s="10">
        <f t="shared" si="9"/>
        <v>171863000</v>
      </c>
      <c r="U49" s="10">
        <f t="shared" si="10"/>
        <v>131863000</v>
      </c>
      <c r="V49" s="10">
        <f t="shared" si="11"/>
        <v>40000000</v>
      </c>
    </row>
    <row r="50" spans="1:22" x14ac:dyDescent="0.25">
      <c r="A50" s="9" t="s">
        <v>9</v>
      </c>
      <c r="B50" s="10">
        <v>16363000</v>
      </c>
      <c r="C50" s="10">
        <v>0</v>
      </c>
      <c r="D50" s="10">
        <v>27000000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30000000</v>
      </c>
      <c r="M50" s="10">
        <v>0</v>
      </c>
      <c r="N50" s="10">
        <v>20000000</v>
      </c>
      <c r="O50" s="10">
        <v>20000000</v>
      </c>
      <c r="P50" s="10">
        <v>7500000</v>
      </c>
      <c r="Q50" s="10">
        <v>0</v>
      </c>
      <c r="R50" s="11">
        <v>51000000</v>
      </c>
      <c r="S50" s="5"/>
      <c r="T50" s="10">
        <f t="shared" si="9"/>
        <v>171863000</v>
      </c>
      <c r="U50" s="10">
        <f t="shared" si="10"/>
        <v>131863000</v>
      </c>
      <c r="V50" s="10">
        <f t="shared" si="11"/>
        <v>40000000</v>
      </c>
    </row>
    <row r="51" spans="1:22" x14ac:dyDescent="0.25">
      <c r="A51" s="9" t="s">
        <v>10</v>
      </c>
      <c r="B51" s="10">
        <v>16363000</v>
      </c>
      <c r="C51" s="10">
        <v>0</v>
      </c>
      <c r="D51" s="10">
        <v>27000000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30000000</v>
      </c>
      <c r="M51" s="10">
        <v>0</v>
      </c>
      <c r="N51" s="10">
        <v>20000000</v>
      </c>
      <c r="O51" s="10">
        <v>20000000</v>
      </c>
      <c r="P51" s="10">
        <v>7500000</v>
      </c>
      <c r="Q51" s="10">
        <v>0</v>
      </c>
      <c r="R51" s="11">
        <v>51000000</v>
      </c>
      <c r="S51" s="5"/>
      <c r="T51" s="10">
        <f t="shared" si="9"/>
        <v>171863000</v>
      </c>
      <c r="U51" s="10">
        <f t="shared" si="10"/>
        <v>131863000</v>
      </c>
      <c r="V51" s="10">
        <f t="shared" si="11"/>
        <v>40000000</v>
      </c>
    </row>
    <row r="52" spans="1:22" x14ac:dyDescent="0.25">
      <c r="A52" s="9" t="s">
        <v>11</v>
      </c>
      <c r="B52" s="10">
        <v>16363000</v>
      </c>
      <c r="C52" s="10">
        <v>0</v>
      </c>
      <c r="D52" s="10">
        <v>27000000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30000000</v>
      </c>
      <c r="M52" s="10">
        <v>0</v>
      </c>
      <c r="N52" s="10">
        <v>20000000</v>
      </c>
      <c r="O52" s="10">
        <v>20000000</v>
      </c>
      <c r="P52" s="10">
        <v>7500000</v>
      </c>
      <c r="Q52" s="10">
        <v>0</v>
      </c>
      <c r="R52" s="11">
        <v>51000000</v>
      </c>
      <c r="S52" s="5"/>
      <c r="T52" s="10">
        <f t="shared" si="9"/>
        <v>171863000</v>
      </c>
      <c r="U52" s="10">
        <f t="shared" si="10"/>
        <v>131863000</v>
      </c>
      <c r="V52" s="10">
        <f t="shared" si="11"/>
        <v>40000000</v>
      </c>
    </row>
    <row r="53" spans="1:22" x14ac:dyDescent="0.25">
      <c r="A53" s="9" t="s">
        <v>12</v>
      </c>
      <c r="B53" s="10">
        <v>36000000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30000000</v>
      </c>
      <c r="M53" s="10">
        <v>0</v>
      </c>
      <c r="N53" s="10">
        <v>20000000</v>
      </c>
      <c r="O53" s="10">
        <v>20000000</v>
      </c>
      <c r="P53" s="10">
        <v>7500000</v>
      </c>
      <c r="Q53" s="10">
        <v>0</v>
      </c>
      <c r="R53" s="11">
        <v>51000000</v>
      </c>
      <c r="S53" s="5"/>
      <c r="T53" s="10">
        <f t="shared" si="9"/>
        <v>164500000</v>
      </c>
      <c r="U53" s="10">
        <f t="shared" si="10"/>
        <v>124500000</v>
      </c>
      <c r="V53" s="10">
        <f t="shared" si="11"/>
        <v>40000000</v>
      </c>
    </row>
    <row r="54" spans="1:22" x14ac:dyDescent="0.25">
      <c r="A54" s="9" t="s">
        <v>13</v>
      </c>
      <c r="B54" s="10">
        <v>16363000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30000000</v>
      </c>
      <c r="M54" s="10">
        <v>0</v>
      </c>
      <c r="N54" s="10">
        <v>20000000</v>
      </c>
      <c r="O54" s="10">
        <v>20000000</v>
      </c>
      <c r="P54" s="10">
        <v>7500000</v>
      </c>
      <c r="Q54" s="10">
        <v>0</v>
      </c>
      <c r="R54" s="11">
        <v>51000000</v>
      </c>
      <c r="S54" s="5"/>
      <c r="T54" s="10">
        <f t="shared" si="9"/>
        <v>144863000</v>
      </c>
      <c r="U54" s="10">
        <f t="shared" si="10"/>
        <v>104863000</v>
      </c>
      <c r="V54" s="10">
        <f t="shared" si="11"/>
        <v>40000000</v>
      </c>
    </row>
    <row r="55" spans="1:22" x14ac:dyDescent="0.25">
      <c r="A55" s="9" t="s">
        <v>14</v>
      </c>
      <c r="B55" s="10">
        <v>16363000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30000000</v>
      </c>
      <c r="M55" s="10">
        <v>0</v>
      </c>
      <c r="N55" s="10">
        <v>20000000</v>
      </c>
      <c r="O55" s="10">
        <v>20000000</v>
      </c>
      <c r="P55" s="10">
        <v>7500000</v>
      </c>
      <c r="Q55" s="10">
        <v>0</v>
      </c>
      <c r="R55" s="11">
        <v>51000000</v>
      </c>
      <c r="S55" s="5"/>
      <c r="T55" s="10">
        <f t="shared" si="9"/>
        <v>144863000</v>
      </c>
      <c r="U55" s="10">
        <f t="shared" si="10"/>
        <v>104863000</v>
      </c>
      <c r="V55" s="10">
        <f t="shared" si="11"/>
        <v>40000000</v>
      </c>
    </row>
    <row r="56" spans="1:22" x14ac:dyDescent="0.25">
      <c r="A56" s="9" t="s">
        <v>15</v>
      </c>
      <c r="B56" s="10">
        <v>16363000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30000000</v>
      </c>
      <c r="M56" s="10">
        <v>0</v>
      </c>
      <c r="N56" s="10">
        <v>20000000</v>
      </c>
      <c r="O56" s="10">
        <v>20000000</v>
      </c>
      <c r="P56" s="10">
        <v>7500000</v>
      </c>
      <c r="Q56" s="10">
        <v>0</v>
      </c>
      <c r="R56" s="11">
        <v>51000000</v>
      </c>
      <c r="S56" s="5"/>
      <c r="T56" s="10">
        <f t="shared" si="9"/>
        <v>144863000</v>
      </c>
      <c r="U56" s="10">
        <f t="shared" si="10"/>
        <v>104863000</v>
      </c>
      <c r="V56" s="10">
        <f t="shared" si="11"/>
        <v>40000000</v>
      </c>
    </row>
    <row r="57" spans="1:22" x14ac:dyDescent="0.25">
      <c r="A57" s="9" t="s">
        <v>16</v>
      </c>
      <c r="B57" s="10">
        <v>16363000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30000000</v>
      </c>
      <c r="M57" s="10">
        <v>0</v>
      </c>
      <c r="N57" s="10">
        <v>20000000</v>
      </c>
      <c r="O57" s="10">
        <v>20000000</v>
      </c>
      <c r="P57" s="10">
        <v>7500000</v>
      </c>
      <c r="Q57" s="10">
        <v>0</v>
      </c>
      <c r="R57" s="11">
        <v>51000000</v>
      </c>
      <c r="S57" s="5"/>
      <c r="T57" s="10">
        <f t="shared" si="9"/>
        <v>144863000</v>
      </c>
      <c r="U57" s="10">
        <f t="shared" si="10"/>
        <v>104863000</v>
      </c>
      <c r="V57" s="10">
        <f t="shared" si="11"/>
        <v>40000000</v>
      </c>
    </row>
    <row r="58" spans="1:22" x14ac:dyDescent="0.25">
      <c r="A58" s="9" t="s">
        <v>17</v>
      </c>
      <c r="B58" s="10">
        <v>16363000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30000000</v>
      </c>
      <c r="M58" s="10">
        <v>0</v>
      </c>
      <c r="N58" s="10">
        <v>20000000</v>
      </c>
      <c r="O58" s="10">
        <v>20000000</v>
      </c>
      <c r="P58" s="10">
        <v>7500000</v>
      </c>
      <c r="Q58" s="10">
        <v>0</v>
      </c>
      <c r="R58" s="11">
        <v>51000000</v>
      </c>
      <c r="S58" s="5"/>
      <c r="T58" s="10">
        <f t="shared" si="9"/>
        <v>144863000</v>
      </c>
      <c r="U58" s="10">
        <f t="shared" si="10"/>
        <v>104863000</v>
      </c>
      <c r="V58" s="10">
        <f t="shared" si="11"/>
        <v>40000000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FE22-5194-4BA2-84D0-C541272363E7}">
  <dimension ref="C1:E1"/>
  <sheetViews>
    <sheetView rightToLeft="1" zoomScale="130" zoomScaleNormal="130" workbookViewId="0">
      <selection activeCell="B10" sqref="B10"/>
    </sheetView>
  </sheetViews>
  <sheetFormatPr defaultRowHeight="18" x14ac:dyDescent="0.25"/>
  <cols>
    <col min="1" max="1" width="9.140625" style="2"/>
    <col min="2" max="2" width="14.42578125" style="2" bestFit="1" customWidth="1"/>
    <col min="3" max="3" width="13.140625" style="1" bestFit="1" customWidth="1"/>
    <col min="4" max="4" width="15" style="1" bestFit="1" customWidth="1"/>
    <col min="5" max="5" width="14.42578125" style="1" bestFit="1" customWidth="1"/>
    <col min="6" max="8" width="9.140625" style="2"/>
    <col min="9" max="9" width="12" style="2" bestFit="1" customWidth="1"/>
    <col min="10" max="16384" width="9.140625" style="2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EA4E-C6EE-4879-833D-6B9D446C628E}">
  <dimension ref="F1:P13"/>
  <sheetViews>
    <sheetView rightToLeft="1" zoomScale="145" zoomScaleNormal="145" workbookViewId="0">
      <selection activeCell="O16" sqref="O16"/>
    </sheetView>
  </sheetViews>
  <sheetFormatPr defaultRowHeight="18" x14ac:dyDescent="0.25"/>
  <cols>
    <col min="1" max="1" width="9.140625" style="2"/>
    <col min="2" max="4" width="12" style="2" bestFit="1" customWidth="1"/>
    <col min="5" max="6" width="9.140625" style="2"/>
    <col min="7" max="8" width="13" style="2" bestFit="1" customWidth="1"/>
    <col min="9" max="9" width="15.140625" style="2" bestFit="1" customWidth="1"/>
    <col min="10" max="10" width="13" style="2" bestFit="1" customWidth="1"/>
    <col min="11" max="11" width="9.140625" style="2"/>
    <col min="12" max="14" width="13" style="2" bestFit="1" customWidth="1"/>
    <col min="15" max="15" width="13.7109375" style="2" bestFit="1" customWidth="1"/>
    <col min="16" max="16" width="13" style="2" bestFit="1" customWidth="1"/>
    <col min="17" max="16384" width="9.140625" style="2"/>
  </cols>
  <sheetData>
    <row r="1" spans="6:16" ht="18.75" thickBot="1" x14ac:dyDescent="0.3">
      <c r="F1" s="2">
        <v>1404</v>
      </c>
      <c r="G1" s="2" t="s">
        <v>27</v>
      </c>
      <c r="H1" s="1" t="s">
        <v>28</v>
      </c>
      <c r="I1" s="1" t="s">
        <v>29</v>
      </c>
      <c r="J1" s="1" t="s">
        <v>30</v>
      </c>
      <c r="L1" s="2" t="s">
        <v>50</v>
      </c>
      <c r="M1" s="2" t="s">
        <v>51</v>
      </c>
      <c r="N1" s="2" t="s">
        <v>52</v>
      </c>
      <c r="O1" s="2" t="s">
        <v>58</v>
      </c>
      <c r="P1" s="2" t="s">
        <v>59</v>
      </c>
    </row>
    <row r="2" spans="6:16" ht="19.5" thickTop="1" thickBot="1" x14ac:dyDescent="0.3">
      <c r="F2" s="6" t="s">
        <v>6</v>
      </c>
      <c r="G2" s="7">
        <v>460000000</v>
      </c>
      <c r="H2" s="7">
        <v>238000000</v>
      </c>
      <c r="I2" s="7">
        <v>40000000</v>
      </c>
      <c r="J2" s="7">
        <v>140000000</v>
      </c>
      <c r="K2" s="6"/>
      <c r="L2" s="7">
        <f>SUM(Report!G2:J2)</f>
        <v>878000000</v>
      </c>
      <c r="M2" s="7">
        <f>SUM(Installments!B2:R2)</f>
        <v>522503000</v>
      </c>
      <c r="N2" s="7">
        <f t="shared" ref="N2:N13" si="0">L2-M2</f>
        <v>355497000</v>
      </c>
      <c r="O2" s="7">
        <f>Report!G2-Installments!U2</f>
        <v>42497000</v>
      </c>
      <c r="P2" s="7">
        <f>Report!H2-Installments!V2</f>
        <v>133000000</v>
      </c>
    </row>
    <row r="3" spans="6:16" ht="19.5" thickTop="1" thickBot="1" x14ac:dyDescent="0.3">
      <c r="F3" s="6" t="s">
        <v>7</v>
      </c>
      <c r="G3" s="7">
        <v>460000000</v>
      </c>
      <c r="H3" s="7">
        <v>320000000</v>
      </c>
      <c r="I3" s="7">
        <v>40000000</v>
      </c>
      <c r="J3" s="7">
        <v>140000000</v>
      </c>
      <c r="K3" s="6"/>
      <c r="L3" s="7">
        <f>SUM(Report!G3:J3)</f>
        <v>960000000</v>
      </c>
      <c r="M3" s="7">
        <f>SUM(Installments!B3:R3)</f>
        <v>522503000</v>
      </c>
      <c r="N3" s="7">
        <f t="shared" si="0"/>
        <v>437497000</v>
      </c>
      <c r="O3" s="7">
        <f>Report!G3-Installments!U3</f>
        <v>42497000</v>
      </c>
      <c r="P3" s="7">
        <f>Report!H3-Installments!V3</f>
        <v>215000000</v>
      </c>
    </row>
    <row r="4" spans="6:16" ht="19.5" thickTop="1" thickBot="1" x14ac:dyDescent="0.3">
      <c r="F4" s="6" t="s">
        <v>8</v>
      </c>
      <c r="G4" s="7">
        <v>460000000</v>
      </c>
      <c r="H4" s="7">
        <v>320000000</v>
      </c>
      <c r="I4" s="7">
        <v>40000000</v>
      </c>
      <c r="J4" s="7">
        <v>140000000</v>
      </c>
      <c r="K4" s="6"/>
      <c r="L4" s="7">
        <f>SUM(Report!G4:J4)</f>
        <v>960000000</v>
      </c>
      <c r="M4" s="7">
        <f>SUM(Installments!B4:R4)</f>
        <v>522503000</v>
      </c>
      <c r="N4" s="7">
        <f t="shared" si="0"/>
        <v>437497000</v>
      </c>
      <c r="O4" s="7">
        <f>Report!G4-Installments!U4</f>
        <v>42497000</v>
      </c>
      <c r="P4" s="7">
        <f>Report!H4-Installments!V4</f>
        <v>215000000</v>
      </c>
    </row>
    <row r="5" spans="6:16" ht="19.5" thickTop="1" thickBot="1" x14ac:dyDescent="0.3">
      <c r="F5" s="6" t="s">
        <v>9</v>
      </c>
      <c r="G5" s="7">
        <v>460000000</v>
      </c>
      <c r="H5" s="7">
        <v>320000000</v>
      </c>
      <c r="I5" s="7">
        <v>40000000</v>
      </c>
      <c r="J5" s="7">
        <v>0</v>
      </c>
      <c r="K5" s="6"/>
      <c r="L5" s="7">
        <f>SUM(Report!G5:J5)</f>
        <v>820000000</v>
      </c>
      <c r="M5" s="7">
        <f>SUM(Installments!B5:R5)</f>
        <v>522503000</v>
      </c>
      <c r="N5" s="7">
        <f t="shared" si="0"/>
        <v>297497000</v>
      </c>
      <c r="O5" s="7">
        <f>Report!G5-Installments!U5</f>
        <v>42497000</v>
      </c>
      <c r="P5" s="7">
        <f>Report!H5-Installments!V5</f>
        <v>215000000</v>
      </c>
    </row>
    <row r="6" spans="6:16" ht="19.5" thickTop="1" thickBot="1" x14ac:dyDescent="0.3">
      <c r="F6" s="6" t="s">
        <v>10</v>
      </c>
      <c r="G6" s="7">
        <v>460000000</v>
      </c>
      <c r="H6" s="7">
        <v>320000000</v>
      </c>
      <c r="I6" s="7">
        <v>40000000</v>
      </c>
      <c r="J6" s="7">
        <v>0</v>
      </c>
      <c r="K6" s="6"/>
      <c r="L6" s="7">
        <f>SUM(Report!G6:J6)</f>
        <v>820000000</v>
      </c>
      <c r="M6" s="7">
        <f>SUM(Installments!B6:R6)</f>
        <v>518003000</v>
      </c>
      <c r="N6" s="7">
        <f t="shared" si="0"/>
        <v>301997000</v>
      </c>
      <c r="O6" s="7">
        <f>Report!G6-Installments!U6</f>
        <v>46997000</v>
      </c>
      <c r="P6" s="7">
        <f>Report!H6-Installments!V6</f>
        <v>215000000</v>
      </c>
    </row>
    <row r="7" spans="6:16" ht="18.75" thickTop="1" x14ac:dyDescent="0.25">
      <c r="F7" s="9" t="s">
        <v>11</v>
      </c>
      <c r="G7" s="10">
        <v>460000000</v>
      </c>
      <c r="H7" s="10">
        <v>370000000</v>
      </c>
      <c r="I7" s="10">
        <v>40000000</v>
      </c>
      <c r="J7" s="10">
        <v>0</v>
      </c>
      <c r="K7" s="9"/>
      <c r="L7" s="10">
        <f>SUM(Report!G7:J7)</f>
        <v>870000000</v>
      </c>
      <c r="M7" s="10">
        <f>SUM(Installments!B7:R7)</f>
        <v>430003000</v>
      </c>
      <c r="N7" s="10">
        <f t="shared" si="0"/>
        <v>439997000</v>
      </c>
      <c r="O7" s="10">
        <f>Report!G7-Installments!U7</f>
        <v>106997000</v>
      </c>
      <c r="P7" s="10">
        <f>Report!H7-Installments!V7</f>
        <v>293000000</v>
      </c>
    </row>
    <row r="8" spans="6:16" x14ac:dyDescent="0.25">
      <c r="F8" s="9" t="s">
        <v>12</v>
      </c>
      <c r="G8" s="10">
        <v>460000000</v>
      </c>
      <c r="H8" s="10">
        <v>370000000</v>
      </c>
      <c r="I8" s="10">
        <v>40000000</v>
      </c>
      <c r="J8" s="10">
        <v>0</v>
      </c>
      <c r="K8" s="9"/>
      <c r="L8" s="10">
        <f>SUM(Report!G8:J8)</f>
        <v>870000000</v>
      </c>
      <c r="M8" s="10">
        <f>SUM(Installments!B8:R8)</f>
        <v>634140000</v>
      </c>
      <c r="N8" s="10">
        <f t="shared" si="0"/>
        <v>235860000</v>
      </c>
      <c r="O8" s="10">
        <f>Report!G8-Installments!U8</f>
        <v>-97140000</v>
      </c>
      <c r="P8" s="10">
        <f>Report!H8-Installments!V8</f>
        <v>293000000</v>
      </c>
    </row>
    <row r="9" spans="6:16" x14ac:dyDescent="0.25">
      <c r="F9" s="9" t="s">
        <v>13</v>
      </c>
      <c r="G9" s="10">
        <v>460000000</v>
      </c>
      <c r="H9" s="10">
        <v>370000000</v>
      </c>
      <c r="I9" s="10">
        <v>40000000</v>
      </c>
      <c r="J9" s="10">
        <v>0</v>
      </c>
      <c r="K9" s="9"/>
      <c r="L9" s="10">
        <f>SUM(Report!G9:J9)</f>
        <v>870000000</v>
      </c>
      <c r="M9" s="10">
        <f>SUM(Installments!B9:R9)</f>
        <v>526863000</v>
      </c>
      <c r="N9" s="10">
        <f t="shared" si="0"/>
        <v>343137000</v>
      </c>
      <c r="O9" s="10">
        <f>Report!G9-Installments!U9</f>
        <v>-14863000</v>
      </c>
      <c r="P9" s="10">
        <f>Report!H9-Installments!V9</f>
        <v>318000000</v>
      </c>
    </row>
    <row r="10" spans="6:16" x14ac:dyDescent="0.25">
      <c r="F10" s="9" t="s">
        <v>14</v>
      </c>
      <c r="G10" s="10">
        <v>460000000</v>
      </c>
      <c r="H10" s="10">
        <v>370000000</v>
      </c>
      <c r="I10" s="10">
        <v>40000000</v>
      </c>
      <c r="J10" s="10">
        <v>0</v>
      </c>
      <c r="K10" s="9"/>
      <c r="L10" s="10">
        <f>SUM(Report!G10:J10)</f>
        <v>870000000</v>
      </c>
      <c r="M10" s="10">
        <f>SUM(Installments!B10:R10)</f>
        <v>514863000</v>
      </c>
      <c r="N10" s="10">
        <f t="shared" si="0"/>
        <v>355137000</v>
      </c>
      <c r="O10" s="10">
        <f>Report!G10-Installments!U10</f>
        <v>-14863000</v>
      </c>
      <c r="P10" s="10">
        <f>Report!H10-Installments!V10</f>
        <v>330000000</v>
      </c>
    </row>
    <row r="11" spans="6:16" x14ac:dyDescent="0.25">
      <c r="F11" s="9" t="s">
        <v>15</v>
      </c>
      <c r="G11" s="10">
        <v>460000000</v>
      </c>
      <c r="H11" s="10">
        <v>370000000</v>
      </c>
      <c r="I11" s="10">
        <v>40000000</v>
      </c>
      <c r="J11" s="10">
        <v>0</v>
      </c>
      <c r="K11" s="9"/>
      <c r="L11" s="10">
        <f>SUM(Report!G11:J11)</f>
        <v>870000000</v>
      </c>
      <c r="M11" s="10">
        <f>SUM(Installments!B11:R11)</f>
        <v>514863000</v>
      </c>
      <c r="N11" s="10">
        <f t="shared" si="0"/>
        <v>355137000</v>
      </c>
      <c r="O11" s="10">
        <f>Report!G11-Installments!U11</f>
        <v>-14863000</v>
      </c>
      <c r="P11" s="10">
        <f>Report!H11-Installments!V11</f>
        <v>330000000</v>
      </c>
    </row>
    <row r="12" spans="6:16" x14ac:dyDescent="0.25">
      <c r="F12" s="9" t="s">
        <v>16</v>
      </c>
      <c r="G12" s="10">
        <v>460000000</v>
      </c>
      <c r="H12" s="10">
        <v>370000000</v>
      </c>
      <c r="I12" s="10">
        <v>40000000</v>
      </c>
      <c r="J12" s="10">
        <v>0</v>
      </c>
      <c r="K12" s="9"/>
      <c r="L12" s="10">
        <f>SUM(Report!G12:J12)</f>
        <v>870000000</v>
      </c>
      <c r="M12" s="10">
        <f>SUM(Installments!B12:R12)</f>
        <v>514863000</v>
      </c>
      <c r="N12" s="10">
        <f t="shared" si="0"/>
        <v>355137000</v>
      </c>
      <c r="O12" s="10">
        <f>Report!G12-Installments!U12</f>
        <v>-14863000</v>
      </c>
      <c r="P12" s="10">
        <f>Report!H12-Installments!V12</f>
        <v>330000000</v>
      </c>
    </row>
    <row r="13" spans="6:16" x14ac:dyDescent="0.25">
      <c r="F13" s="9" t="s">
        <v>17</v>
      </c>
      <c r="G13" s="10">
        <v>460000000</v>
      </c>
      <c r="H13" s="10">
        <v>370000000</v>
      </c>
      <c r="I13" s="10">
        <v>40000000</v>
      </c>
      <c r="J13" s="10">
        <v>0</v>
      </c>
      <c r="K13" s="9"/>
      <c r="L13" s="10">
        <f>SUM(Report!G13:J13)</f>
        <v>870000000</v>
      </c>
      <c r="M13" s="10">
        <f>SUM(Installments!B13:R13)</f>
        <v>476363000</v>
      </c>
      <c r="N13" s="10">
        <f t="shared" si="0"/>
        <v>393637000</v>
      </c>
      <c r="O13" s="10">
        <f>Report!G13-Installments!U13</f>
        <v>23637000</v>
      </c>
      <c r="P13" s="10">
        <f>Report!H13-Installments!V13</f>
        <v>330000000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</vt:lpstr>
      <vt:lpstr>Installments</vt:lpstr>
      <vt:lpstr>Income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Momeni Ghamsari</dc:creator>
  <cp:lastModifiedBy>Alireza Momeni Ghamsari</cp:lastModifiedBy>
  <dcterms:created xsi:type="dcterms:W3CDTF">2025-05-25T10:13:32Z</dcterms:created>
  <dcterms:modified xsi:type="dcterms:W3CDTF">2025-10-21T13:43:51Z</dcterms:modified>
</cp:coreProperties>
</file>